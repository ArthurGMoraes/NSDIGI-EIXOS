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filterPrivacy="1" codeName="ThisWorkbook"/>
  <xr:revisionPtr revIDLastSave="1095" documentId="13_ncr:1_{5A661E73-08AA-4B90-A705-1265442E8F4A}" xr6:coauthVersionLast="47" xr6:coauthVersionMax="47" xr10:uidLastSave="{407F0170-3276-4188-8AB8-2C1463DF1E30}"/>
  <bookViews>
    <workbookView xWindow="-27915" yWindow="105" windowWidth="25635" windowHeight="15585" xr2:uid="{00000000-000D-0000-FFFF-FFFF00000000}"/>
  </bookViews>
  <sheets>
    <sheet name="OKR " sheetId="15" r:id="rId1"/>
    <sheet name="Base Plano" sheetId="18" r:id="rId2"/>
    <sheet name="Gantt por eixo" sheetId="20" r:id="rId3"/>
    <sheet name="Gantt" sheetId="13" r:id="rId4"/>
    <sheet name="Telessaúde" sheetId="14" state="hidden" r:id="rId5"/>
    <sheet name="Infoestrutura" sheetId="11" state="hidden" r:id="rId6"/>
    <sheet name="Sobre" sheetId="12" state="hidden" r:id="rId7"/>
  </sheets>
  <definedNames>
    <definedName name="_xlnm._FilterDatabase" localSheetId="1" hidden="1">'Base Plano'!$A$1:$J$74</definedName>
    <definedName name="hoje" localSheetId="3">TODAY()</definedName>
    <definedName name="hoje" localSheetId="5">TODAY()</definedName>
    <definedName name="hoje" localSheetId="4">TODAY()</definedName>
    <definedName name="início_da_tarefa" localSheetId="3">Gantt!$E1</definedName>
    <definedName name="início_da_tarefa" localSheetId="5">Infoestrutura!$E1</definedName>
    <definedName name="início_da_tarefa" localSheetId="4">Telessaúde!$E1</definedName>
    <definedName name="início_da_tarefa">#REF!</definedName>
    <definedName name="Início_do_projeto" localSheetId="3">Gantt!$E$3</definedName>
    <definedName name="Início_do_projeto" localSheetId="4">Telessaúde!$E$3</definedName>
    <definedName name="Início_do_projeto">Infoestrutura!$E$3</definedName>
    <definedName name="progresso_da_tarefa" localSheetId="3">Gantt!$D1</definedName>
    <definedName name="progresso_da_tarefa" localSheetId="5">Infoestrutura!$D1</definedName>
    <definedName name="progresso_da_tarefa" localSheetId="4">Telessaúde!$D1</definedName>
    <definedName name="progresso_da_tarefa">#REF!</definedName>
    <definedName name="Semana_de_exibição" localSheetId="3">Gantt!$E$4</definedName>
    <definedName name="Semana_de_exibição" localSheetId="4">Telessaúde!$E$4</definedName>
    <definedName name="Semana_de_exibição">Infoestrutura!$E$4</definedName>
    <definedName name="término_da_tarefa" localSheetId="3">Gantt!$F1</definedName>
    <definedName name="término_da_tarefa" localSheetId="5">Infoestrutura!$F1</definedName>
    <definedName name="término_da_tarefa" localSheetId="4">Telessaúde!$F1</definedName>
    <definedName name="término_da_tarefa">#REF!</definedName>
    <definedName name="_xlnm.Print_Titles" localSheetId="3">Gantt!$4:$6</definedName>
    <definedName name="_xlnm.Print_Titles" localSheetId="5">Infoestrutura!$4:$6</definedName>
    <definedName name="_xlnm.Print_Titles" localSheetId="4">Telessaúde!$4:$6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8" l="1" a="1"/>
  <c r="J4" i="18"/>
  <c r="J32" i="18" a="1"/>
  <c r="J32" i="18"/>
  <c r="J33" i="18" a="1"/>
  <c r="J33" i="18"/>
  <c r="J5" i="18" a="1"/>
  <c r="J5" i="18"/>
  <c r="J6" i="18" a="1"/>
  <c r="J6" i="18"/>
  <c r="J7" i="18" a="1"/>
  <c r="J7" i="18"/>
  <c r="J34" i="18" a="1"/>
  <c r="J34" i="18"/>
  <c r="J35" i="18" a="1"/>
  <c r="J35" i="18"/>
  <c r="J2" i="18" a="1"/>
  <c r="J2" i="18"/>
  <c r="J36" i="18" a="1"/>
  <c r="J36" i="18"/>
  <c r="J37" i="18" a="1"/>
  <c r="J37" i="18"/>
  <c r="J38" i="18" a="1"/>
  <c r="J38" i="18"/>
  <c r="J72" i="18" a="1"/>
  <c r="J72" i="18"/>
  <c r="J39" i="18" a="1"/>
  <c r="J39" i="18"/>
  <c r="J55" i="18" a="1"/>
  <c r="J55" i="18"/>
  <c r="J67" i="18" a="1"/>
  <c r="J67" i="18"/>
  <c r="J68" i="18" a="1"/>
  <c r="J68" i="18"/>
  <c r="J12" i="18" a="1"/>
  <c r="J12" i="18"/>
  <c r="J42" i="18" a="1"/>
  <c r="J42" i="18"/>
  <c r="J43" i="18" a="1"/>
  <c r="J43" i="18"/>
  <c r="J44" i="18" a="1"/>
  <c r="J44" i="18"/>
  <c r="J45" i="18" a="1"/>
  <c r="J45" i="18"/>
  <c r="J60" i="18" a="1"/>
  <c r="J60" i="18"/>
  <c r="J46" i="18" a="1"/>
  <c r="J46" i="18"/>
  <c r="J47" i="18" a="1"/>
  <c r="J47" i="18"/>
  <c r="J48" i="18" a="1"/>
  <c r="J48" i="18"/>
  <c r="J49" i="18" a="1"/>
  <c r="J49" i="18"/>
  <c r="J50" i="18" a="1"/>
  <c r="J50" i="18"/>
  <c r="J61" i="18" a="1"/>
  <c r="J61" i="18"/>
  <c r="J8" i="18" a="1"/>
  <c r="J8" i="18"/>
  <c r="J9" i="18" a="1"/>
  <c r="J9" i="18"/>
  <c r="J10" i="18" a="1"/>
  <c r="J10" i="18"/>
  <c r="J30" i="18" a="1"/>
  <c r="J30" i="18"/>
  <c r="J31" i="18" a="1"/>
  <c r="J31" i="18"/>
  <c r="J40" i="18" a="1"/>
  <c r="J40" i="18"/>
  <c r="J41" i="18" a="1"/>
  <c r="J41" i="18"/>
  <c r="J59" i="18" a="1"/>
  <c r="J59" i="18"/>
  <c r="J69" i="18" a="1"/>
  <c r="J69" i="18"/>
  <c r="I4" i="18" a="1"/>
  <c r="I4" i="18"/>
  <c r="I32" i="18" a="1"/>
  <c r="I32" i="18"/>
  <c r="I33" i="18" a="1"/>
  <c r="I33" i="18"/>
  <c r="I5" i="18" a="1"/>
  <c r="I5" i="18"/>
  <c r="I6" i="18" a="1"/>
  <c r="I6" i="18"/>
  <c r="I7" i="18" a="1"/>
  <c r="I7" i="18"/>
  <c r="I34" i="18" a="1"/>
  <c r="I34" i="18"/>
  <c r="I35" i="18" a="1"/>
  <c r="I35" i="18"/>
  <c r="I2" i="18" a="1"/>
  <c r="I2" i="18"/>
  <c r="I36" i="18" a="1"/>
  <c r="I36" i="18"/>
  <c r="I37" i="18" a="1"/>
  <c r="I37" i="18"/>
  <c r="I38" i="18" a="1"/>
  <c r="I38" i="18"/>
  <c r="I72" i="18" a="1"/>
  <c r="I72" i="18"/>
  <c r="I39" i="18" a="1"/>
  <c r="I39" i="18"/>
  <c r="I55" i="18" a="1"/>
  <c r="I55" i="18"/>
  <c r="I67" i="18" a="1"/>
  <c r="I67" i="18"/>
  <c r="I68" i="18" a="1"/>
  <c r="I68" i="18"/>
  <c r="I26" i="18" a="1"/>
  <c r="I26" i="18"/>
  <c r="I27" i="18" a="1"/>
  <c r="I27" i="18"/>
  <c r="I28" i="18" a="1"/>
  <c r="I28" i="18"/>
  <c r="I29" i="18" a="1"/>
  <c r="I29" i="18"/>
  <c r="I62" i="18" a="1"/>
  <c r="I62" i="18"/>
  <c r="I63" i="18" a="1"/>
  <c r="I63" i="18"/>
  <c r="I64" i="18" a="1"/>
  <c r="I64" i="18"/>
  <c r="I65" i="18" a="1"/>
  <c r="I65" i="18"/>
  <c r="I66" i="18" a="1"/>
  <c r="I66" i="18"/>
  <c r="I73" i="18" a="1"/>
  <c r="I73" i="18"/>
  <c r="I74" i="18" a="1"/>
  <c r="I74" i="18"/>
  <c r="I13" i="18" a="1"/>
  <c r="I13" i="18"/>
  <c r="I14" i="18" a="1"/>
  <c r="I14" i="18"/>
  <c r="I15" i="18" a="1"/>
  <c r="I15" i="18"/>
  <c r="I16" i="18" a="1"/>
  <c r="I16" i="18"/>
  <c r="I17" i="18" a="1"/>
  <c r="I17" i="18"/>
  <c r="I18" i="18" a="1"/>
  <c r="I18" i="18"/>
  <c r="I19" i="18" a="1"/>
  <c r="I19" i="18"/>
  <c r="I20" i="18" a="1"/>
  <c r="I20" i="18"/>
  <c r="I21" i="18" a="1"/>
  <c r="I21" i="18"/>
  <c r="I22" i="18" a="1"/>
  <c r="I22" i="18"/>
  <c r="I23" i="18" a="1"/>
  <c r="I23" i="18"/>
  <c r="I24" i="18" a="1"/>
  <c r="I24" i="18"/>
  <c r="I51" i="18" a="1"/>
  <c r="I51" i="18"/>
  <c r="I52" i="18" a="1"/>
  <c r="I52" i="18"/>
  <c r="I53" i="18" a="1"/>
  <c r="I53" i="18"/>
  <c r="I54" i="18" a="1"/>
  <c r="I54" i="18"/>
  <c r="I56" i="18" a="1"/>
  <c r="I56" i="18"/>
  <c r="I57" i="18" a="1"/>
  <c r="I57" i="18"/>
  <c r="I58" i="18" a="1"/>
  <c r="I58" i="18"/>
  <c r="I70" i="18" a="1"/>
  <c r="I70" i="18"/>
  <c r="I71" i="18" a="1"/>
  <c r="I71" i="18"/>
  <c r="J3" i="18" a="1"/>
  <c r="J3" i="18"/>
  <c r="I3" i="18" a="1"/>
  <c r="I3" i="18"/>
  <c r="H12" i="18" a="1"/>
  <c r="H12" i="18"/>
  <c r="H42" i="18" a="1"/>
  <c r="H42" i="18"/>
  <c r="H43" i="18" a="1"/>
  <c r="H43" i="18"/>
  <c r="H44" i="18" a="1"/>
  <c r="H44" i="18"/>
  <c r="H45" i="18" a="1"/>
  <c r="H45" i="18"/>
  <c r="H60" i="18" a="1"/>
  <c r="H60" i="18"/>
  <c r="H46" i="18" a="1"/>
  <c r="H46" i="18"/>
  <c r="H47" i="18" a="1"/>
  <c r="H47" i="18"/>
  <c r="H48" i="18" a="1"/>
  <c r="H48" i="18"/>
  <c r="H49" i="18" a="1"/>
  <c r="H49" i="18"/>
  <c r="H50" i="18" a="1"/>
  <c r="H50" i="18"/>
  <c r="H61" i="18" a="1"/>
  <c r="H61" i="18"/>
  <c r="H8" i="18" a="1"/>
  <c r="H8" i="18"/>
  <c r="H9" i="18" a="1"/>
  <c r="H9" i="18"/>
  <c r="H10" i="18" a="1"/>
  <c r="H10" i="18"/>
  <c r="H30" i="18" a="1"/>
  <c r="H30" i="18"/>
  <c r="H31" i="18" a="1"/>
  <c r="H31" i="18"/>
  <c r="H40" i="18" a="1"/>
  <c r="H40" i="18"/>
  <c r="H41" i="18" a="1"/>
  <c r="H41" i="18"/>
  <c r="H59" i="18" a="1"/>
  <c r="H59" i="18"/>
  <c r="H69" i="18" a="1"/>
  <c r="H69" i="18"/>
  <c r="H26" i="18" a="1"/>
  <c r="H26" i="18"/>
  <c r="H27" i="18" a="1"/>
  <c r="H27" i="18"/>
  <c r="H28" i="18" a="1"/>
  <c r="H28" i="18"/>
  <c r="H29" i="18" a="1"/>
  <c r="H29" i="18"/>
  <c r="H62" i="18" a="1"/>
  <c r="H62" i="18"/>
  <c r="H63" i="18" a="1"/>
  <c r="H63" i="18"/>
  <c r="H64" i="18" a="1"/>
  <c r="H64" i="18"/>
  <c r="H65" i="18" a="1"/>
  <c r="H65" i="18"/>
  <c r="H66" i="18" a="1"/>
  <c r="H66" i="18"/>
  <c r="H73" i="18" a="1"/>
  <c r="H73" i="18"/>
  <c r="H74" i="18" a="1"/>
  <c r="H74" i="18"/>
  <c r="H13" i="18" a="1"/>
  <c r="H13" i="18"/>
  <c r="H14" i="18" a="1"/>
  <c r="H14" i="18"/>
  <c r="H15" i="18" a="1"/>
  <c r="H15" i="18"/>
  <c r="H16" i="18" a="1"/>
  <c r="H16" i="18"/>
  <c r="H17" i="18" a="1"/>
  <c r="H17" i="18"/>
  <c r="H18" i="18" a="1"/>
  <c r="H18" i="18"/>
  <c r="H19" i="18" a="1"/>
  <c r="H19" i="18"/>
  <c r="H20" i="18" a="1"/>
  <c r="H20" i="18"/>
  <c r="H21" i="18" a="1"/>
  <c r="H21" i="18"/>
  <c r="H22" i="18" a="1"/>
  <c r="H22" i="18"/>
  <c r="H23" i="18" a="1"/>
  <c r="H23" i="18"/>
  <c r="H24" i="18" a="1"/>
  <c r="H24" i="18"/>
  <c r="H51" i="18" a="1"/>
  <c r="H51" i="18"/>
  <c r="H52" i="18" a="1"/>
  <c r="H52" i="18"/>
  <c r="H53" i="18" a="1"/>
  <c r="H53" i="18"/>
  <c r="H54" i="18" a="1"/>
  <c r="H54" i="18"/>
  <c r="H56" i="18" a="1"/>
  <c r="H56" i="18"/>
  <c r="H57" i="18" a="1"/>
  <c r="H57" i="18"/>
  <c r="H58" i="18" a="1"/>
  <c r="H58" i="18"/>
  <c r="H70" i="18" a="1"/>
  <c r="H70" i="18"/>
  <c r="H71" i="18" a="1"/>
  <c r="H71" i="18"/>
  <c r="B23" i="13"/>
  <c r="C23" i="13"/>
  <c r="E23" i="13"/>
  <c r="F23" i="13"/>
  <c r="B24" i="13"/>
  <c r="C24" i="13"/>
  <c r="E24" i="13"/>
  <c r="F24" i="13"/>
  <c r="B25" i="13"/>
  <c r="C25" i="13"/>
  <c r="E25" i="13"/>
  <c r="F25" i="13"/>
  <c r="B26" i="13"/>
  <c r="C26" i="13"/>
  <c r="E26" i="13"/>
  <c r="F26" i="13"/>
  <c r="B27" i="13"/>
  <c r="C27" i="13"/>
  <c r="E27" i="13"/>
  <c r="F27" i="13"/>
  <c r="B28" i="13"/>
  <c r="C28" i="13"/>
  <c r="E28" i="13"/>
  <c r="F28" i="13"/>
  <c r="B29" i="13"/>
  <c r="C29" i="13"/>
  <c r="E29" i="13"/>
  <c r="F29" i="13"/>
  <c r="B30" i="13"/>
  <c r="C30" i="13"/>
  <c r="E30" i="13"/>
  <c r="F30" i="13"/>
  <c r="B31" i="13"/>
  <c r="C31" i="13"/>
  <c r="E31" i="13"/>
  <c r="F31" i="13"/>
  <c r="LZ5" i="13"/>
  <c r="LZ4" i="13" s="1"/>
  <c r="MA5" i="13"/>
  <c r="MB5" i="13"/>
  <c r="MC5" i="13"/>
  <c r="MD5" i="13"/>
  <c r="ME5" i="13"/>
  <c r="MF5" i="13"/>
  <c r="LZ6" i="13"/>
  <c r="MA6" i="13"/>
  <c r="MB6" i="13"/>
  <c r="MC6" i="13"/>
  <c r="MD6" i="13"/>
  <c r="ME6" i="13"/>
  <c r="MF6" i="13"/>
  <c r="LE5" i="13"/>
  <c r="LE4" i="13" s="1"/>
  <c r="LF5" i="13"/>
  <c r="LG5" i="13"/>
  <c r="LH5" i="13"/>
  <c r="LI5" i="13"/>
  <c r="LJ5" i="13"/>
  <c r="LK5" i="13"/>
  <c r="LL5" i="13"/>
  <c r="LL4" i="13" s="1"/>
  <c r="LM5" i="13"/>
  <c r="LN5" i="13"/>
  <c r="LO5" i="13"/>
  <c r="LP5" i="13"/>
  <c r="LQ5" i="13"/>
  <c r="LR5" i="13"/>
  <c r="LS5" i="13"/>
  <c r="LS4" i="13" s="1"/>
  <c r="LT5" i="13"/>
  <c r="LU5" i="13"/>
  <c r="LV5" i="13"/>
  <c r="LW5" i="13"/>
  <c r="LX5" i="13"/>
  <c r="LY5" i="13"/>
  <c r="LE6" i="13"/>
  <c r="LF6" i="13"/>
  <c r="LG6" i="13"/>
  <c r="LH6" i="13"/>
  <c r="LI6" i="13"/>
  <c r="LJ6" i="13"/>
  <c r="LK6" i="13"/>
  <c r="LL6" i="13"/>
  <c r="LM6" i="13"/>
  <c r="LN6" i="13"/>
  <c r="LO6" i="13"/>
  <c r="LP6" i="13"/>
  <c r="LQ6" i="13"/>
  <c r="LR6" i="13"/>
  <c r="LS6" i="13"/>
  <c r="LT6" i="13"/>
  <c r="LU6" i="13"/>
  <c r="LV6" i="13"/>
  <c r="LW6" i="13"/>
  <c r="LX6" i="13"/>
  <c r="LY6" i="13"/>
  <c r="JA5" i="13"/>
  <c r="JA4" i="13" s="1"/>
  <c r="JB5" i="13"/>
  <c r="JC5" i="13"/>
  <c r="JD5" i="13"/>
  <c r="JE5" i="13"/>
  <c r="JF5" i="13"/>
  <c r="JG5" i="13"/>
  <c r="JH5" i="13"/>
  <c r="JH4" i="13" s="1"/>
  <c r="JI5" i="13"/>
  <c r="JJ5" i="13"/>
  <c r="JK5" i="13"/>
  <c r="JL5" i="13"/>
  <c r="JM5" i="13"/>
  <c r="JN5" i="13"/>
  <c r="JO5" i="13"/>
  <c r="JO4" i="13" s="1"/>
  <c r="JP5" i="13"/>
  <c r="JQ5" i="13"/>
  <c r="JR5" i="13"/>
  <c r="JS5" i="13"/>
  <c r="JT5" i="13"/>
  <c r="JU5" i="13"/>
  <c r="JV5" i="13"/>
  <c r="JV4" i="13" s="1"/>
  <c r="JW5" i="13"/>
  <c r="JX5" i="13"/>
  <c r="JY5" i="13"/>
  <c r="JZ5" i="13"/>
  <c r="KA5" i="13"/>
  <c r="KB5" i="13"/>
  <c r="KC5" i="13"/>
  <c r="KC4" i="13" s="1"/>
  <c r="KD5" i="13"/>
  <c r="KE5" i="13"/>
  <c r="KF5" i="13"/>
  <c r="KG5" i="13"/>
  <c r="KH5" i="13"/>
  <c r="KI5" i="13"/>
  <c r="KJ5" i="13"/>
  <c r="KJ4" i="13" s="1"/>
  <c r="KK5" i="13"/>
  <c r="KL5" i="13"/>
  <c r="KM5" i="13"/>
  <c r="KN5" i="13"/>
  <c r="KO5" i="13"/>
  <c r="KP5" i="13"/>
  <c r="KQ5" i="13"/>
  <c r="KQ4" i="13" s="1"/>
  <c r="KR5" i="13"/>
  <c r="KS5" i="13"/>
  <c r="KT5" i="13"/>
  <c r="KU5" i="13"/>
  <c r="KV5" i="13"/>
  <c r="KW5" i="13"/>
  <c r="KX5" i="13"/>
  <c r="KX4" i="13" s="1"/>
  <c r="KY5" i="13"/>
  <c r="KZ5" i="13"/>
  <c r="LA5" i="13"/>
  <c r="LB5" i="13"/>
  <c r="LC5" i="13"/>
  <c r="LD5" i="13"/>
  <c r="JA6" i="13"/>
  <c r="JB6" i="13"/>
  <c r="JC6" i="13"/>
  <c r="JD6" i="13"/>
  <c r="JE6" i="13"/>
  <c r="JF6" i="13"/>
  <c r="JG6" i="13"/>
  <c r="JH6" i="13"/>
  <c r="JI6" i="13"/>
  <c r="JJ6" i="13"/>
  <c r="JK6" i="13"/>
  <c r="JL6" i="13"/>
  <c r="JM6" i="13"/>
  <c r="JN6" i="13"/>
  <c r="JO6" i="13"/>
  <c r="JP6" i="13"/>
  <c r="JQ6" i="13"/>
  <c r="JR6" i="13"/>
  <c r="JS6" i="13"/>
  <c r="JT6" i="13"/>
  <c r="JU6" i="13"/>
  <c r="JV6" i="13"/>
  <c r="JW6" i="13"/>
  <c r="JX6" i="13"/>
  <c r="JY6" i="13"/>
  <c r="JZ6" i="13"/>
  <c r="KA6" i="13"/>
  <c r="KB6" i="13"/>
  <c r="KC6" i="13"/>
  <c r="KD6" i="13"/>
  <c r="KE6" i="13"/>
  <c r="KF6" i="13"/>
  <c r="KG6" i="13"/>
  <c r="KH6" i="13"/>
  <c r="KI6" i="13"/>
  <c r="KJ6" i="13"/>
  <c r="KK6" i="13"/>
  <c r="KL6" i="13"/>
  <c r="KM6" i="13"/>
  <c r="KN6" i="13"/>
  <c r="KO6" i="13"/>
  <c r="KP6" i="13"/>
  <c r="KQ6" i="13"/>
  <c r="KR6" i="13"/>
  <c r="KS6" i="13"/>
  <c r="KT6" i="13"/>
  <c r="KU6" i="13"/>
  <c r="KV6" i="13"/>
  <c r="KW6" i="13"/>
  <c r="KX6" i="13"/>
  <c r="KY6" i="13"/>
  <c r="KZ6" i="13"/>
  <c r="LA6" i="13"/>
  <c r="LB6" i="13"/>
  <c r="LC6" i="13"/>
  <c r="LD6" i="13"/>
  <c r="GP5" i="13"/>
  <c r="GP4" i="13" s="1"/>
  <c r="GQ5" i="13"/>
  <c r="GR5" i="13"/>
  <c r="GS5" i="13"/>
  <c r="GT5" i="13"/>
  <c r="GU5" i="13"/>
  <c r="GV5" i="13"/>
  <c r="GW5" i="13"/>
  <c r="GW4" i="13" s="1"/>
  <c r="GX5" i="13"/>
  <c r="GY5" i="13"/>
  <c r="GZ5" i="13"/>
  <c r="HA5" i="13"/>
  <c r="HB5" i="13"/>
  <c r="HC5" i="13"/>
  <c r="HD5" i="13"/>
  <c r="HD4" i="13" s="1"/>
  <c r="HE5" i="13"/>
  <c r="HF5" i="13"/>
  <c r="HG5" i="13"/>
  <c r="HH5" i="13"/>
  <c r="HI5" i="13"/>
  <c r="HJ5" i="13"/>
  <c r="HK5" i="13"/>
  <c r="HK4" i="13" s="1"/>
  <c r="HL5" i="13"/>
  <c r="HM5" i="13"/>
  <c r="HN5" i="13"/>
  <c r="HO5" i="13"/>
  <c r="HP5" i="13"/>
  <c r="HQ5" i="13"/>
  <c r="HR5" i="13"/>
  <c r="HR4" i="13" s="1"/>
  <c r="HS5" i="13"/>
  <c r="HT5" i="13"/>
  <c r="HU5" i="13"/>
  <c r="HV5" i="13"/>
  <c r="HW5" i="13"/>
  <c r="HX5" i="13"/>
  <c r="HY5" i="13"/>
  <c r="HY4" i="13" s="1"/>
  <c r="HZ5" i="13"/>
  <c r="IA5" i="13"/>
  <c r="IB5" i="13"/>
  <c r="IC5" i="13"/>
  <c r="ID5" i="13"/>
  <c r="IE5" i="13"/>
  <c r="IF5" i="13"/>
  <c r="IF4" i="13" s="1"/>
  <c r="IG5" i="13"/>
  <c r="IH5" i="13"/>
  <c r="II5" i="13"/>
  <c r="IJ5" i="13"/>
  <c r="IK5" i="13"/>
  <c r="IL5" i="13"/>
  <c r="IM5" i="13"/>
  <c r="IM4" i="13" s="1"/>
  <c r="IN5" i="13"/>
  <c r="IO5" i="13"/>
  <c r="IP5" i="13"/>
  <c r="IQ5" i="13"/>
  <c r="IR5" i="13"/>
  <c r="IS5" i="13"/>
  <c r="IT5" i="13"/>
  <c r="IT4" i="13" s="1"/>
  <c r="IU5" i="13"/>
  <c r="IV5" i="13"/>
  <c r="IW5" i="13"/>
  <c r="IX5" i="13"/>
  <c r="IY5" i="13"/>
  <c r="IZ5" i="13"/>
  <c r="GP6" i="13"/>
  <c r="GQ6" i="13"/>
  <c r="GR6" i="13"/>
  <c r="GS6" i="13"/>
  <c r="GT6" i="13"/>
  <c r="GU6" i="13"/>
  <c r="GV6" i="13"/>
  <c r="GW6" i="13"/>
  <c r="GX6" i="13"/>
  <c r="GY6" i="13"/>
  <c r="GZ6" i="13"/>
  <c r="HA6" i="13"/>
  <c r="HB6" i="13"/>
  <c r="HC6" i="13"/>
  <c r="HD6" i="13"/>
  <c r="HE6" i="13"/>
  <c r="HF6" i="13"/>
  <c r="HG6" i="13"/>
  <c r="HH6" i="13"/>
  <c r="HI6" i="13"/>
  <c r="HJ6" i="13"/>
  <c r="HK6" i="13"/>
  <c r="HL6" i="13"/>
  <c r="HM6" i="13"/>
  <c r="HN6" i="13"/>
  <c r="HO6" i="13"/>
  <c r="HP6" i="13"/>
  <c r="HQ6" i="13"/>
  <c r="HR6" i="13"/>
  <c r="HS6" i="13"/>
  <c r="HT6" i="13"/>
  <c r="HU6" i="13"/>
  <c r="HV6" i="13"/>
  <c r="HW6" i="13"/>
  <c r="HX6" i="13"/>
  <c r="HY6" i="13"/>
  <c r="HZ6" i="13"/>
  <c r="IA6" i="13"/>
  <c r="IB6" i="13"/>
  <c r="IC6" i="13"/>
  <c r="ID6" i="13"/>
  <c r="IE6" i="13"/>
  <c r="IF6" i="13"/>
  <c r="IG6" i="13"/>
  <c r="IH6" i="13"/>
  <c r="II6" i="13"/>
  <c r="IJ6" i="13"/>
  <c r="IK6" i="13"/>
  <c r="IL6" i="13"/>
  <c r="IM6" i="13"/>
  <c r="IN6" i="13"/>
  <c r="IO6" i="13"/>
  <c r="IP6" i="13"/>
  <c r="IQ6" i="13"/>
  <c r="IR6" i="13"/>
  <c r="IS6" i="13"/>
  <c r="IT6" i="13"/>
  <c r="IU6" i="13"/>
  <c r="IV6" i="13"/>
  <c r="IW6" i="13"/>
  <c r="IX6" i="13"/>
  <c r="IY6" i="13"/>
  <c r="IZ6" i="13"/>
  <c r="C52" i="18"/>
  <c r="D52" i="18"/>
  <c r="E52" i="18"/>
  <c r="F52" i="18"/>
  <c r="G52" i="18"/>
  <c r="J52" i="18" s="1" a="1"/>
  <c r="J52" i="18" s="1"/>
  <c r="C53" i="18"/>
  <c r="D53" i="18"/>
  <c r="E53" i="18"/>
  <c r="F53" i="18"/>
  <c r="G53" i="18"/>
  <c r="J53" i="18" s="1" a="1"/>
  <c r="J53" i="18" s="1"/>
  <c r="C54" i="18"/>
  <c r="D54" i="18"/>
  <c r="E54" i="18"/>
  <c r="F54" i="18"/>
  <c r="G54" i="18"/>
  <c r="J54" i="18" s="1" a="1"/>
  <c r="J54" i="18" s="1"/>
  <c r="C56" i="18"/>
  <c r="D56" i="18"/>
  <c r="E56" i="18"/>
  <c r="F56" i="18"/>
  <c r="G56" i="18"/>
  <c r="J56" i="18" s="1" a="1"/>
  <c r="J56" i="18" s="1"/>
  <c r="C57" i="18"/>
  <c r="D57" i="18"/>
  <c r="E57" i="18"/>
  <c r="F57" i="18"/>
  <c r="G57" i="18"/>
  <c r="J57" i="18" s="1" a="1"/>
  <c r="J57" i="18" s="1"/>
  <c r="C58" i="18"/>
  <c r="D58" i="18"/>
  <c r="E58" i="18"/>
  <c r="F58" i="18"/>
  <c r="G58" i="18"/>
  <c r="J58" i="18" s="1" a="1"/>
  <c r="J58" i="18" s="1"/>
  <c r="C70" i="18"/>
  <c r="D70" i="18"/>
  <c r="E70" i="18"/>
  <c r="F70" i="18"/>
  <c r="G70" i="18"/>
  <c r="J70" i="18" s="1" a="1"/>
  <c r="J70" i="18" s="1"/>
  <c r="C71" i="18"/>
  <c r="D71" i="18"/>
  <c r="E71" i="18"/>
  <c r="F71" i="18"/>
  <c r="G71" i="18"/>
  <c r="J71" i="18" s="1" a="1"/>
  <c r="J71" i="18" s="1"/>
  <c r="F51" i="18"/>
  <c r="E51" i="18"/>
  <c r="D51" i="18"/>
  <c r="C51" i="18"/>
  <c r="B51" i="18"/>
  <c r="C14" i="18"/>
  <c r="D14" i="18"/>
  <c r="E14" i="18"/>
  <c r="F14" i="18"/>
  <c r="G14" i="18"/>
  <c r="J14" i="18" s="1" a="1"/>
  <c r="J14" i="18" s="1"/>
  <c r="C15" i="18"/>
  <c r="D15" i="18"/>
  <c r="E15" i="18"/>
  <c r="F15" i="18"/>
  <c r="G15" i="18"/>
  <c r="J15" i="18" s="1" a="1"/>
  <c r="J15" i="18" s="1"/>
  <c r="C16" i="18"/>
  <c r="D16" i="18"/>
  <c r="E16" i="18"/>
  <c r="F16" i="18"/>
  <c r="G16" i="18"/>
  <c r="J16" i="18" s="1" a="1"/>
  <c r="J16" i="18" s="1"/>
  <c r="C17" i="18"/>
  <c r="D17" i="18"/>
  <c r="E17" i="18"/>
  <c r="F17" i="18"/>
  <c r="G17" i="18"/>
  <c r="J17" i="18" s="1" a="1"/>
  <c r="J17" i="18" s="1"/>
  <c r="C18" i="18"/>
  <c r="D18" i="18"/>
  <c r="E18" i="18"/>
  <c r="F18" i="18"/>
  <c r="G18" i="18"/>
  <c r="J18" i="18" s="1" a="1"/>
  <c r="J18" i="18" s="1"/>
  <c r="C19" i="18"/>
  <c r="D19" i="18"/>
  <c r="E19" i="18"/>
  <c r="F19" i="18"/>
  <c r="G19" i="18"/>
  <c r="J19" i="18" s="1" a="1"/>
  <c r="J19" i="18" s="1"/>
  <c r="C20" i="18"/>
  <c r="D20" i="18"/>
  <c r="E20" i="18"/>
  <c r="F20" i="18"/>
  <c r="G20" i="18"/>
  <c r="J20" i="18" s="1" a="1"/>
  <c r="J20" i="18" s="1"/>
  <c r="C21" i="18"/>
  <c r="D21" i="18"/>
  <c r="E21" i="18"/>
  <c r="F21" i="18"/>
  <c r="G21" i="18"/>
  <c r="J21" i="18" s="1" a="1"/>
  <c r="J21" i="18" s="1"/>
  <c r="C22" i="18"/>
  <c r="D22" i="18"/>
  <c r="E22" i="18"/>
  <c r="F22" i="18"/>
  <c r="G22" i="18"/>
  <c r="J22" i="18" s="1" a="1"/>
  <c r="J22" i="18" s="1"/>
  <c r="C23" i="18"/>
  <c r="D23" i="18"/>
  <c r="E23" i="18"/>
  <c r="F23" i="18"/>
  <c r="G23" i="18"/>
  <c r="J23" i="18" s="1" a="1"/>
  <c r="J23" i="18" s="1"/>
  <c r="C24" i="18"/>
  <c r="D24" i="18"/>
  <c r="E24" i="18"/>
  <c r="F24" i="18"/>
  <c r="G24" i="18"/>
  <c r="J24" i="18" s="1" a="1"/>
  <c r="J24" i="18" s="1"/>
  <c r="F13" i="18"/>
  <c r="E13" i="18"/>
  <c r="D13" i="18"/>
  <c r="C13" i="18"/>
  <c r="B13" i="18"/>
  <c r="C66" i="18"/>
  <c r="D66" i="18"/>
  <c r="E66" i="18"/>
  <c r="F66" i="18"/>
  <c r="G66" i="18"/>
  <c r="J66" i="18" s="1" a="1"/>
  <c r="J66" i="18" s="1"/>
  <c r="C73" i="18"/>
  <c r="D73" i="18"/>
  <c r="E73" i="18"/>
  <c r="F73" i="18"/>
  <c r="G73" i="18"/>
  <c r="J73" i="18" s="1" a="1"/>
  <c r="J73" i="18" s="1"/>
  <c r="C74" i="18"/>
  <c r="D74" i="18"/>
  <c r="E74" i="18"/>
  <c r="F74" i="18"/>
  <c r="G74" i="18"/>
  <c r="J74" i="18" s="1" a="1"/>
  <c r="J74" i="18" s="1"/>
  <c r="C63" i="18"/>
  <c r="D63" i="18"/>
  <c r="E63" i="18"/>
  <c r="F63" i="18"/>
  <c r="G63" i="18"/>
  <c r="J63" i="18" s="1" a="1"/>
  <c r="J63" i="18" s="1"/>
  <c r="C64" i="18"/>
  <c r="D64" i="18"/>
  <c r="E64" i="18"/>
  <c r="F64" i="18"/>
  <c r="G64" i="18"/>
  <c r="J64" i="18" s="1" a="1"/>
  <c r="J64" i="18" s="1"/>
  <c r="C65" i="18"/>
  <c r="D65" i="18"/>
  <c r="E65" i="18"/>
  <c r="F65" i="18"/>
  <c r="G65" i="18"/>
  <c r="J65" i="18" s="1" a="1"/>
  <c r="J65" i="18" s="1"/>
  <c r="C26" i="18"/>
  <c r="D26" i="18"/>
  <c r="E26" i="18"/>
  <c r="F26" i="18"/>
  <c r="G26" i="18"/>
  <c r="J26" i="18" s="1" a="1"/>
  <c r="J26" i="18" s="1"/>
  <c r="C27" i="18"/>
  <c r="D27" i="18"/>
  <c r="E27" i="18"/>
  <c r="F27" i="18"/>
  <c r="G27" i="18"/>
  <c r="J27" i="18" s="1" a="1"/>
  <c r="J27" i="18" s="1"/>
  <c r="C28" i="18"/>
  <c r="D28" i="18"/>
  <c r="E28" i="18"/>
  <c r="F28" i="18"/>
  <c r="G28" i="18"/>
  <c r="J28" i="18" s="1" a="1"/>
  <c r="J28" i="18" s="1"/>
  <c r="C29" i="18"/>
  <c r="D29" i="18"/>
  <c r="E29" i="18"/>
  <c r="F29" i="18"/>
  <c r="G29" i="18"/>
  <c r="J29" i="18" s="1" a="1"/>
  <c r="J29" i="18" s="1"/>
  <c r="C62" i="18"/>
  <c r="D62" i="18"/>
  <c r="E62" i="18"/>
  <c r="F62" i="18"/>
  <c r="G62" i="18"/>
  <c r="J62" i="18" s="1" a="1"/>
  <c r="J62" i="18" s="1"/>
  <c r="F25" i="18"/>
  <c r="E25" i="18"/>
  <c r="D25" i="18"/>
  <c r="C25" i="18"/>
  <c r="B25" i="18"/>
  <c r="A25" i="18"/>
  <c r="C9" i="18"/>
  <c r="D9" i="18"/>
  <c r="E9" i="18"/>
  <c r="F9" i="18"/>
  <c r="G9" i="18"/>
  <c r="I9" i="18" s="1" a="1"/>
  <c r="I9" i="18" s="1"/>
  <c r="C10" i="18"/>
  <c r="D10" i="18"/>
  <c r="E10" i="18"/>
  <c r="F10" i="18"/>
  <c r="G10" i="18"/>
  <c r="I10" i="18" s="1" a="1"/>
  <c r="I10" i="18" s="1"/>
  <c r="C30" i="18"/>
  <c r="D30" i="18"/>
  <c r="E30" i="18"/>
  <c r="F30" i="18"/>
  <c r="G30" i="18"/>
  <c r="I30" i="18" s="1" a="1"/>
  <c r="I30" i="18" s="1"/>
  <c r="C31" i="18"/>
  <c r="D31" i="18"/>
  <c r="E31" i="18"/>
  <c r="F31" i="18"/>
  <c r="G31" i="18"/>
  <c r="I31" i="18" s="1" a="1"/>
  <c r="I31" i="18" s="1"/>
  <c r="C40" i="18"/>
  <c r="D40" i="18"/>
  <c r="E40" i="18"/>
  <c r="F40" i="18"/>
  <c r="G40" i="18"/>
  <c r="I40" i="18" s="1" a="1"/>
  <c r="I40" i="18" s="1"/>
  <c r="C41" i="18"/>
  <c r="D41" i="18"/>
  <c r="E41" i="18"/>
  <c r="F41" i="18"/>
  <c r="G41" i="18"/>
  <c r="I41" i="18" s="1" a="1"/>
  <c r="I41" i="18" s="1"/>
  <c r="C59" i="18"/>
  <c r="D59" i="18"/>
  <c r="E59" i="18"/>
  <c r="F59" i="18"/>
  <c r="G59" i="18"/>
  <c r="I59" i="18" s="1" a="1"/>
  <c r="I59" i="18" s="1"/>
  <c r="C69" i="18"/>
  <c r="D69" i="18"/>
  <c r="E69" i="18"/>
  <c r="F69" i="18"/>
  <c r="G69" i="18"/>
  <c r="I69" i="18" s="1" a="1"/>
  <c r="I69" i="18" s="1"/>
  <c r="F8" i="18"/>
  <c r="E8" i="18"/>
  <c r="D8" i="18"/>
  <c r="C8" i="18"/>
  <c r="B8" i="18"/>
  <c r="F12" i="18"/>
  <c r="C47" i="18"/>
  <c r="D47" i="18"/>
  <c r="E47" i="18"/>
  <c r="F47" i="18"/>
  <c r="G47" i="18" s="1"/>
  <c r="I47" i="18" s="1" a="1"/>
  <c r="I47" i="18" s="1"/>
  <c r="C48" i="18"/>
  <c r="D48" i="18"/>
  <c r="E48" i="18"/>
  <c r="F48" i="18"/>
  <c r="G48" i="18" s="1"/>
  <c r="I48" i="18" s="1" a="1"/>
  <c r="I48" i="18" s="1"/>
  <c r="C49" i="18"/>
  <c r="D49" i="18"/>
  <c r="E49" i="18"/>
  <c r="F49" i="18"/>
  <c r="G49" i="18" s="1"/>
  <c r="I49" i="18" s="1" a="1"/>
  <c r="I49" i="18" s="1"/>
  <c r="C50" i="18"/>
  <c r="D50" i="18"/>
  <c r="E50" i="18"/>
  <c r="F50" i="18"/>
  <c r="G50" i="18" s="1"/>
  <c r="I50" i="18" s="1" a="1"/>
  <c r="I50" i="18" s="1"/>
  <c r="C61" i="18"/>
  <c r="D61" i="18"/>
  <c r="E61" i="18"/>
  <c r="F61" i="18"/>
  <c r="G61" i="18" s="1"/>
  <c r="I61" i="18" s="1" a="1"/>
  <c r="I61" i="18" s="1"/>
  <c r="F46" i="18"/>
  <c r="E46" i="18"/>
  <c r="D46" i="18"/>
  <c r="C46" i="18"/>
  <c r="B46" i="18"/>
  <c r="C12" i="18"/>
  <c r="D12" i="18"/>
  <c r="E12" i="18"/>
  <c r="G12" i="18" s="1"/>
  <c r="I12" i="18" s="1" a="1"/>
  <c r="I12" i="18" s="1"/>
  <c r="C42" i="18"/>
  <c r="D42" i="18"/>
  <c r="E42" i="18"/>
  <c r="F42" i="18"/>
  <c r="G42" i="18" s="1"/>
  <c r="I42" i="18" s="1" a="1"/>
  <c r="I42" i="18" s="1"/>
  <c r="C43" i="18"/>
  <c r="D43" i="18"/>
  <c r="E43" i="18"/>
  <c r="F43" i="18"/>
  <c r="G43" i="18" s="1"/>
  <c r="I43" i="18" s="1" a="1"/>
  <c r="I43" i="18" s="1"/>
  <c r="C44" i="18"/>
  <c r="D44" i="18"/>
  <c r="E44" i="18"/>
  <c r="F44" i="18"/>
  <c r="G44" i="18" s="1"/>
  <c r="I44" i="18" s="1" a="1"/>
  <c r="I44" i="18" s="1"/>
  <c r="C45" i="18"/>
  <c r="D45" i="18"/>
  <c r="E45" i="18"/>
  <c r="F45" i="18"/>
  <c r="G45" i="18" s="1"/>
  <c r="I45" i="18" s="1" a="1"/>
  <c r="I45" i="18" s="1"/>
  <c r="C60" i="18"/>
  <c r="D60" i="18"/>
  <c r="E60" i="18"/>
  <c r="F60" i="18"/>
  <c r="G60" i="18" s="1"/>
  <c r="I60" i="18" s="1" a="1"/>
  <c r="I60" i="18" s="1"/>
  <c r="F11" i="18"/>
  <c r="E11" i="18"/>
  <c r="D11" i="18"/>
  <c r="C11" i="18"/>
  <c r="B11" i="18"/>
  <c r="A11" i="18"/>
  <c r="C55" i="18"/>
  <c r="D55" i="18"/>
  <c r="E55" i="18"/>
  <c r="F55" i="18"/>
  <c r="G55" i="18"/>
  <c r="H55" i="18" s="1" a="1"/>
  <c r="H55" i="18" s="1"/>
  <c r="C67" i="18"/>
  <c r="D67" i="18"/>
  <c r="E67" i="18"/>
  <c r="F67" i="18"/>
  <c r="G67" i="18"/>
  <c r="H67" i="18" s="1" a="1"/>
  <c r="H67" i="18" s="1"/>
  <c r="C68" i="18"/>
  <c r="D68" i="18"/>
  <c r="E68" i="18"/>
  <c r="F68" i="18"/>
  <c r="G68" i="18"/>
  <c r="H68" i="18" s="1" a="1"/>
  <c r="H68" i="18" s="1"/>
  <c r="F39" i="18"/>
  <c r="E39" i="18"/>
  <c r="D39" i="18"/>
  <c r="C39" i="18"/>
  <c r="B39" i="18"/>
  <c r="G4" i="18"/>
  <c r="H4" i="18" s="1" a="1"/>
  <c r="H4" i="18" s="1"/>
  <c r="G32" i="18"/>
  <c r="H32" i="18" s="1" a="1"/>
  <c r="H32" i="18" s="1"/>
  <c r="G33" i="18"/>
  <c r="H33" i="18" s="1" a="1"/>
  <c r="H33" i="18" s="1"/>
  <c r="G5" i="18"/>
  <c r="H5" i="18" s="1" a="1"/>
  <c r="H5" i="18" s="1"/>
  <c r="G6" i="18"/>
  <c r="H6" i="18" s="1" a="1"/>
  <c r="H6" i="18" s="1"/>
  <c r="G7" i="18"/>
  <c r="H7" i="18" s="1" a="1"/>
  <c r="H7" i="18" s="1"/>
  <c r="G34" i="18"/>
  <c r="H34" i="18" s="1" a="1"/>
  <c r="H34" i="18" s="1"/>
  <c r="G35" i="18"/>
  <c r="H35" i="18" s="1" a="1"/>
  <c r="H35" i="18" s="1"/>
  <c r="G2" i="18"/>
  <c r="H2" i="18" s="1" a="1"/>
  <c r="H2" i="18" s="1"/>
  <c r="G36" i="18"/>
  <c r="H36" i="18" s="1" a="1"/>
  <c r="H36" i="18" s="1"/>
  <c r="G37" i="18"/>
  <c r="H37" i="18" s="1" a="1"/>
  <c r="H37" i="18" s="1"/>
  <c r="G38" i="18"/>
  <c r="H38" i="18" s="1" a="1"/>
  <c r="H38" i="18" s="1"/>
  <c r="G72" i="18"/>
  <c r="H72" i="18" s="1" a="1"/>
  <c r="H72" i="18" s="1"/>
  <c r="G3" i="18"/>
  <c r="H3" i="18" s="1" a="1"/>
  <c r="H3" i="18" s="1"/>
  <c r="B36" i="13"/>
  <c r="C36" i="13"/>
  <c r="E36" i="13"/>
  <c r="F36" i="13"/>
  <c r="B37" i="13"/>
  <c r="C37" i="13"/>
  <c r="E37" i="13"/>
  <c r="F37" i="13"/>
  <c r="B38" i="13"/>
  <c r="C38" i="13"/>
  <c r="E38" i="13"/>
  <c r="F38" i="13"/>
  <c r="B39" i="13"/>
  <c r="C39" i="13"/>
  <c r="E39" i="13"/>
  <c r="F39" i="13"/>
  <c r="B40" i="13"/>
  <c r="C40" i="13"/>
  <c r="E40" i="13"/>
  <c r="F40" i="13"/>
  <c r="B41" i="13"/>
  <c r="C41" i="13"/>
  <c r="E41" i="13"/>
  <c r="F41" i="13"/>
  <c r="B32" i="13"/>
  <c r="C32" i="13"/>
  <c r="E32" i="13"/>
  <c r="F32" i="13"/>
  <c r="B33" i="13"/>
  <c r="C33" i="13"/>
  <c r="E33" i="13"/>
  <c r="F33" i="13"/>
  <c r="F22" i="13"/>
  <c r="E22" i="13"/>
  <c r="C22" i="13"/>
  <c r="B22" i="13"/>
  <c r="B6" i="13"/>
  <c r="C87" i="13"/>
  <c r="F83" i="13"/>
  <c r="E83" i="13"/>
  <c r="C83" i="13"/>
  <c r="B83" i="13"/>
  <c r="B95" i="13"/>
  <c r="C95" i="13"/>
  <c r="E95" i="13"/>
  <c r="F95" i="13"/>
  <c r="B93" i="13"/>
  <c r="C93" i="13"/>
  <c r="E93" i="13"/>
  <c r="F93" i="13"/>
  <c r="B94" i="13"/>
  <c r="C94" i="13"/>
  <c r="E94" i="13"/>
  <c r="F94" i="13"/>
  <c r="F85" i="13"/>
  <c r="E85" i="13"/>
  <c r="E71" i="13"/>
  <c r="F71" i="13"/>
  <c r="E72" i="13"/>
  <c r="F72" i="13"/>
  <c r="E73" i="13"/>
  <c r="F73" i="13"/>
  <c r="E74" i="13"/>
  <c r="F74" i="13"/>
  <c r="E75" i="13"/>
  <c r="F75" i="13"/>
  <c r="E76" i="13"/>
  <c r="F76" i="13"/>
  <c r="E77" i="13"/>
  <c r="F77" i="13"/>
  <c r="E78" i="13"/>
  <c r="F78" i="13"/>
  <c r="E79" i="13"/>
  <c r="F79" i="13"/>
  <c r="F70" i="13"/>
  <c r="E70" i="13"/>
  <c r="B71" i="13"/>
  <c r="C71" i="13"/>
  <c r="B72" i="13"/>
  <c r="C72" i="13"/>
  <c r="B73" i="13"/>
  <c r="C73" i="13"/>
  <c r="B74" i="13"/>
  <c r="C74" i="13"/>
  <c r="B75" i="13"/>
  <c r="C75" i="13"/>
  <c r="B76" i="13"/>
  <c r="C76" i="13"/>
  <c r="B77" i="13"/>
  <c r="C77" i="13"/>
  <c r="B78" i="13"/>
  <c r="C78" i="13"/>
  <c r="B79" i="13"/>
  <c r="C79" i="13"/>
  <c r="C70" i="13"/>
  <c r="B70" i="13"/>
  <c r="B69" i="13"/>
  <c r="H69" i="13"/>
  <c r="B55" i="13"/>
  <c r="C55" i="13"/>
  <c r="E55" i="13"/>
  <c r="F55" i="13"/>
  <c r="B56" i="13"/>
  <c r="C56" i="13"/>
  <c r="E56" i="13"/>
  <c r="F56" i="13"/>
  <c r="B104" i="13"/>
  <c r="C104" i="13"/>
  <c r="E104" i="13"/>
  <c r="F104" i="13"/>
  <c r="B105" i="13"/>
  <c r="C105" i="13"/>
  <c r="E105" i="13"/>
  <c r="F105" i="13"/>
  <c r="B106" i="13"/>
  <c r="C106" i="13"/>
  <c r="E106" i="13"/>
  <c r="F106" i="13"/>
  <c r="B107" i="13"/>
  <c r="C107" i="13"/>
  <c r="E107" i="13"/>
  <c r="F107" i="13"/>
  <c r="B108" i="13"/>
  <c r="C108" i="13"/>
  <c r="E108" i="13"/>
  <c r="F108" i="13"/>
  <c r="B109" i="13"/>
  <c r="C109" i="13"/>
  <c r="E109" i="13"/>
  <c r="F109" i="13"/>
  <c r="B117" i="13"/>
  <c r="C117" i="13"/>
  <c r="E117" i="13"/>
  <c r="F117" i="13"/>
  <c r="B118" i="13"/>
  <c r="C118" i="13"/>
  <c r="E118" i="13"/>
  <c r="F118" i="13"/>
  <c r="B119" i="13"/>
  <c r="C119" i="13"/>
  <c r="E119" i="13"/>
  <c r="F119" i="13"/>
  <c r="B120" i="13"/>
  <c r="C120" i="13"/>
  <c r="E120" i="13"/>
  <c r="F120" i="13"/>
  <c r="B54" i="13"/>
  <c r="B57" i="13"/>
  <c r="E98" i="13"/>
  <c r="F98" i="13"/>
  <c r="E99" i="13"/>
  <c r="F99" i="13"/>
  <c r="E100" i="13"/>
  <c r="F100" i="13"/>
  <c r="E101" i="13"/>
  <c r="F101" i="13"/>
  <c r="E102" i="13"/>
  <c r="F102" i="13"/>
  <c r="E103" i="13"/>
  <c r="F103" i="13"/>
  <c r="F97" i="13"/>
  <c r="E97" i="13"/>
  <c r="E112" i="13"/>
  <c r="F112" i="13"/>
  <c r="E113" i="13"/>
  <c r="F113" i="13"/>
  <c r="E114" i="13"/>
  <c r="F114" i="13"/>
  <c r="E115" i="13"/>
  <c r="F115" i="13"/>
  <c r="E116" i="13"/>
  <c r="F116" i="13"/>
  <c r="F111" i="13"/>
  <c r="E111" i="13"/>
  <c r="B112" i="13"/>
  <c r="C112" i="13"/>
  <c r="B113" i="13"/>
  <c r="C113" i="13"/>
  <c r="B114" i="13"/>
  <c r="C114" i="13"/>
  <c r="B115" i="13"/>
  <c r="C115" i="13"/>
  <c r="B116" i="13"/>
  <c r="C116" i="13"/>
  <c r="C111" i="13"/>
  <c r="B111" i="13"/>
  <c r="B110" i="13"/>
  <c r="B103" i="13"/>
  <c r="C103" i="13"/>
  <c r="B98" i="13"/>
  <c r="C98" i="13"/>
  <c r="B99" i="13"/>
  <c r="C99" i="13"/>
  <c r="B100" i="13"/>
  <c r="C100" i="13"/>
  <c r="B101" i="13"/>
  <c r="C101" i="13"/>
  <c r="B102" i="13"/>
  <c r="C102" i="13"/>
  <c r="C97" i="13"/>
  <c r="B97" i="13"/>
  <c r="B96" i="13"/>
  <c r="E86" i="13"/>
  <c r="F86" i="13"/>
  <c r="E87" i="13"/>
  <c r="F87" i="13"/>
  <c r="E88" i="13"/>
  <c r="F88" i="13"/>
  <c r="E89" i="13"/>
  <c r="F89" i="13"/>
  <c r="E90" i="13"/>
  <c r="F90" i="13"/>
  <c r="E91" i="13"/>
  <c r="F91" i="13"/>
  <c r="E92" i="13"/>
  <c r="F92" i="13"/>
  <c r="F84" i="13"/>
  <c r="E84" i="13"/>
  <c r="B85" i="13"/>
  <c r="C85" i="13"/>
  <c r="B86" i="13"/>
  <c r="C86" i="13"/>
  <c r="B87" i="13"/>
  <c r="B88" i="13"/>
  <c r="C88" i="13"/>
  <c r="B89" i="13"/>
  <c r="C89" i="13"/>
  <c r="B90" i="13"/>
  <c r="C90" i="13"/>
  <c r="B91" i="13"/>
  <c r="C91" i="13"/>
  <c r="B92" i="13"/>
  <c r="C92" i="13"/>
  <c r="C84" i="13"/>
  <c r="B84" i="13"/>
  <c r="B82" i="13"/>
  <c r="B80" i="13"/>
  <c r="C60" i="13"/>
  <c r="E60" i="13"/>
  <c r="F60" i="13"/>
  <c r="C61" i="13"/>
  <c r="E61" i="13"/>
  <c r="F61" i="13"/>
  <c r="C62" i="13"/>
  <c r="E62" i="13"/>
  <c r="F62" i="13"/>
  <c r="C63" i="13"/>
  <c r="E63" i="13"/>
  <c r="F63" i="13"/>
  <c r="C64" i="13"/>
  <c r="E64" i="13"/>
  <c r="F64" i="13"/>
  <c r="C65" i="13"/>
  <c r="E65" i="13"/>
  <c r="F65" i="13"/>
  <c r="C66" i="13"/>
  <c r="E66" i="13"/>
  <c r="F66" i="13"/>
  <c r="C67" i="13"/>
  <c r="E67" i="13"/>
  <c r="F67" i="13"/>
  <c r="C68" i="13"/>
  <c r="E68" i="13"/>
  <c r="F68" i="13"/>
  <c r="F59" i="13"/>
  <c r="E59" i="13"/>
  <c r="C59" i="13"/>
  <c r="B60" i="13"/>
  <c r="B61" i="13"/>
  <c r="B62" i="13"/>
  <c r="B63" i="13"/>
  <c r="B64" i="13"/>
  <c r="B65" i="13"/>
  <c r="B66" i="13"/>
  <c r="B67" i="13"/>
  <c r="B68" i="13"/>
  <c r="B59" i="13"/>
  <c r="B58" i="13"/>
  <c r="C50" i="13"/>
  <c r="E50" i="13"/>
  <c r="F50" i="13"/>
  <c r="C51" i="13"/>
  <c r="E51" i="13"/>
  <c r="F51" i="13"/>
  <c r="C52" i="13"/>
  <c r="E52" i="13"/>
  <c r="F52" i="13"/>
  <c r="C53" i="13"/>
  <c r="E53" i="13"/>
  <c r="F53" i="13"/>
  <c r="C54" i="13"/>
  <c r="E54" i="13"/>
  <c r="F54" i="13"/>
  <c r="C57" i="13"/>
  <c r="E57" i="13"/>
  <c r="F57" i="13"/>
  <c r="C49" i="13"/>
  <c r="F49" i="13"/>
  <c r="E49" i="13"/>
  <c r="B50" i="13"/>
  <c r="B51" i="13"/>
  <c r="B52" i="13"/>
  <c r="B53" i="13"/>
  <c r="B49" i="13"/>
  <c r="B48" i="13"/>
  <c r="B46" i="13"/>
  <c r="E42" i="13"/>
  <c r="F42" i="13"/>
  <c r="E43" i="13"/>
  <c r="F43" i="13"/>
  <c r="E44" i="13"/>
  <c r="F44" i="13"/>
  <c r="E45" i="13"/>
  <c r="F45" i="13"/>
  <c r="F35" i="13"/>
  <c r="E35" i="13"/>
  <c r="B42" i="13"/>
  <c r="C42" i="13"/>
  <c r="B43" i="13"/>
  <c r="C43" i="13"/>
  <c r="B44" i="13"/>
  <c r="C44" i="13"/>
  <c r="B45" i="13"/>
  <c r="C45" i="13"/>
  <c r="C35" i="13"/>
  <c r="B35" i="13"/>
  <c r="B34" i="13"/>
  <c r="B21" i="13"/>
  <c r="E10" i="13"/>
  <c r="F10" i="13"/>
  <c r="E11" i="13"/>
  <c r="F11" i="13"/>
  <c r="E12" i="13"/>
  <c r="F12" i="13"/>
  <c r="E13" i="13"/>
  <c r="F13" i="13"/>
  <c r="E14" i="13"/>
  <c r="F14" i="13"/>
  <c r="E15" i="13"/>
  <c r="F15" i="13"/>
  <c r="E16" i="13"/>
  <c r="F16" i="13"/>
  <c r="E17" i="13"/>
  <c r="F17" i="13"/>
  <c r="E18" i="13"/>
  <c r="F18" i="13"/>
  <c r="E19" i="13"/>
  <c r="F19" i="13"/>
  <c r="E20" i="13"/>
  <c r="F20" i="13"/>
  <c r="F9" i="13"/>
  <c r="E9" i="13"/>
  <c r="C10" i="13"/>
  <c r="C11" i="13"/>
  <c r="C12" i="13"/>
  <c r="C13" i="13"/>
  <c r="C14" i="13"/>
  <c r="C15" i="13"/>
  <c r="C16" i="13"/>
  <c r="C17" i="13"/>
  <c r="C18" i="13"/>
  <c r="C19" i="13"/>
  <c r="C20" i="13"/>
  <c r="C9" i="13"/>
  <c r="B20" i="13"/>
  <c r="B18" i="13"/>
  <c r="B19" i="13"/>
  <c r="B10" i="13"/>
  <c r="B11" i="13"/>
  <c r="B12" i="13"/>
  <c r="B13" i="13"/>
  <c r="B14" i="13"/>
  <c r="B15" i="13"/>
  <c r="B16" i="13"/>
  <c r="B17" i="13"/>
  <c r="B9" i="13"/>
  <c r="B8" i="13"/>
  <c r="B1" i="13"/>
  <c r="H110" i="13"/>
  <c r="H96" i="13"/>
  <c r="H82" i="13"/>
  <c r="H81" i="13"/>
  <c r="H58" i="13"/>
  <c r="H48" i="13"/>
  <c r="H47" i="13"/>
  <c r="H33" i="14"/>
  <c r="H32" i="14"/>
  <c r="H31" i="14"/>
  <c r="H30" i="14"/>
  <c r="H29" i="14"/>
  <c r="H28" i="14"/>
  <c r="H27" i="14"/>
  <c r="H26" i="14"/>
  <c r="H20" i="14"/>
  <c r="H14" i="14"/>
  <c r="H8" i="14"/>
  <c r="H7" i="14"/>
  <c r="E3" i="14"/>
  <c r="H34" i="13"/>
  <c r="H21" i="13"/>
  <c r="H8" i="13"/>
  <c r="H7" i="13"/>
  <c r="E3" i="11"/>
  <c r="H7" i="11"/>
  <c r="J11" i="18" l="1" a="1"/>
  <c r="J11" i="18" s="1"/>
  <c r="H11" i="18" a="1"/>
  <c r="H11" i="18" s="1"/>
  <c r="G11" i="18"/>
  <c r="I11" i="18" s="1" a="1"/>
  <c r="I11" i="18" s="1"/>
  <c r="G46" i="18"/>
  <c r="I46" i="18" s="1" a="1"/>
  <c r="I46" i="18" s="1"/>
  <c r="G8" i="18"/>
  <c r="I8" i="18" s="1" a="1"/>
  <c r="I8" i="18" s="1"/>
  <c r="I25" i="18" a="1"/>
  <c r="I25" i="18" s="1"/>
  <c r="H25" i="18" a="1"/>
  <c r="H25" i="18" s="1"/>
  <c r="G25" i="18"/>
  <c r="J25" i="18" s="1" a="1"/>
  <c r="J25" i="18" s="1"/>
  <c r="G13" i="18"/>
  <c r="J13" i="18" s="1" a="1"/>
  <c r="J13" i="18" s="1"/>
  <c r="G51" i="18"/>
  <c r="J51" i="18" s="1" a="1"/>
  <c r="J51" i="18" s="1"/>
  <c r="G39" i="18"/>
  <c r="H39" i="18" s="1" a="1"/>
  <c r="H39" i="18" s="1"/>
  <c r="H112" i="13"/>
  <c r="H120" i="13"/>
  <c r="E9" i="14"/>
  <c r="I5" i="14"/>
  <c r="I5" i="13"/>
  <c r="E9" i="11"/>
  <c r="E21" i="11" s="1"/>
  <c r="F21" i="11" s="1"/>
  <c r="E22" i="11" s="1"/>
  <c r="H49" i="13" l="1"/>
  <c r="I6" i="14"/>
  <c r="J5" i="14"/>
  <c r="I4" i="14"/>
  <c r="E21" i="14"/>
  <c r="F9" i="14"/>
  <c r="I6" i="13"/>
  <c r="J5" i="13"/>
  <c r="I4" i="13"/>
  <c r="F22" i="11"/>
  <c r="H22" i="11" s="1"/>
  <c r="E23" i="11"/>
  <c r="F9" i="11"/>
  <c r="E10" i="11" s="1"/>
  <c r="I5" i="11"/>
  <c r="H33" i="11"/>
  <c r="H32" i="11"/>
  <c r="H31" i="11"/>
  <c r="H30" i="11"/>
  <c r="H29" i="11"/>
  <c r="H28" i="11"/>
  <c r="H26" i="11"/>
  <c r="H21" i="11"/>
  <c r="H20" i="11"/>
  <c r="H14" i="11"/>
  <c r="H8" i="11"/>
  <c r="H84" i="13" l="1"/>
  <c r="H111" i="13"/>
  <c r="H10" i="13"/>
  <c r="E10" i="14"/>
  <c r="H9" i="14"/>
  <c r="F21" i="14"/>
  <c r="J6" i="14"/>
  <c r="K5" i="14"/>
  <c r="H9" i="13"/>
  <c r="J6" i="13"/>
  <c r="K5" i="13"/>
  <c r="H9" i="11"/>
  <c r="F23" i="11"/>
  <c r="E25" i="11"/>
  <c r="F10" i="11"/>
  <c r="E11" i="11" s="1"/>
  <c r="E13" i="11"/>
  <c r="E15" i="11" s="1"/>
  <c r="E16" i="11" s="1"/>
  <c r="I6" i="11"/>
  <c r="H50" i="13" l="1"/>
  <c r="H53" i="13"/>
  <c r="H13" i="13"/>
  <c r="H11" i="13"/>
  <c r="K6" i="14"/>
  <c r="L5" i="14"/>
  <c r="E22" i="14"/>
  <c r="H21" i="14"/>
  <c r="E13" i="14"/>
  <c r="F10" i="14"/>
  <c r="K6" i="13"/>
  <c r="L5" i="13"/>
  <c r="H35" i="13"/>
  <c r="H27" i="11"/>
  <c r="F25" i="11"/>
  <c r="H25" i="11" s="1"/>
  <c r="H10" i="11"/>
  <c r="E24" i="11"/>
  <c r="H23" i="11"/>
  <c r="F16" i="11"/>
  <c r="F15" i="11"/>
  <c r="H15" i="11" s="1"/>
  <c r="F13" i="11"/>
  <c r="H13" i="11" s="1"/>
  <c r="F11" i="11"/>
  <c r="E12" i="11" s="1"/>
  <c r="J5" i="11"/>
  <c r="K5" i="11" s="1"/>
  <c r="L5" i="11" s="1"/>
  <c r="M5" i="11" s="1"/>
  <c r="N5" i="11" s="1"/>
  <c r="O5" i="11" s="1"/>
  <c r="P5" i="11" s="1"/>
  <c r="I4" i="11"/>
  <c r="H85" i="13" l="1"/>
  <c r="H91" i="13"/>
  <c r="H59" i="13"/>
  <c r="H12" i="13"/>
  <c r="E11" i="14"/>
  <c r="H10" i="14"/>
  <c r="E15" i="14"/>
  <c r="F13" i="14"/>
  <c r="H13" i="14" s="1"/>
  <c r="E23" i="14"/>
  <c r="F22" i="14"/>
  <c r="H22" i="14" s="1"/>
  <c r="L6" i="14"/>
  <c r="M5" i="14"/>
  <c r="H36" i="13"/>
  <c r="L6" i="13"/>
  <c r="M5" i="13"/>
  <c r="F24" i="11"/>
  <c r="H24" i="11" s="1"/>
  <c r="H16" i="11"/>
  <c r="E17" i="11"/>
  <c r="E18" i="11" s="1"/>
  <c r="E19" i="11" s="1"/>
  <c r="H11" i="11"/>
  <c r="F12" i="11"/>
  <c r="H12" i="11" s="1"/>
  <c r="P4" i="11"/>
  <c r="Q5" i="11"/>
  <c r="R5" i="11" s="1"/>
  <c r="S5" i="11" s="1"/>
  <c r="T5" i="11" s="1"/>
  <c r="U5" i="11" s="1"/>
  <c r="V5" i="11" s="1"/>
  <c r="W5" i="11" s="1"/>
  <c r="J6" i="11"/>
  <c r="H51" i="13" l="1"/>
  <c r="M6" i="14"/>
  <c r="N5" i="14"/>
  <c r="E25" i="14"/>
  <c r="F23" i="14"/>
  <c r="E16" i="14"/>
  <c r="F15" i="14"/>
  <c r="H15" i="14" s="1"/>
  <c r="F11" i="14"/>
  <c r="M6" i="13"/>
  <c r="N5" i="13"/>
  <c r="H23" i="13"/>
  <c r="F19" i="11"/>
  <c r="H19" i="11" s="1"/>
  <c r="F18" i="11"/>
  <c r="H18" i="11" s="1"/>
  <c r="F17" i="11"/>
  <c r="H17" i="11" s="1"/>
  <c r="W4" i="11"/>
  <c r="X5" i="11"/>
  <c r="Y5" i="11" s="1"/>
  <c r="Z5" i="11" s="1"/>
  <c r="AA5" i="11" s="1"/>
  <c r="AB5" i="11" s="1"/>
  <c r="AC5" i="11" s="1"/>
  <c r="AD5" i="11" s="1"/>
  <c r="K6" i="11"/>
  <c r="H89" i="13" l="1"/>
  <c r="H60" i="13"/>
  <c r="H52" i="13"/>
  <c r="E12" i="14"/>
  <c r="H11" i="14"/>
  <c r="F16" i="14"/>
  <c r="E24" i="14"/>
  <c r="H23" i="14"/>
  <c r="F25" i="14"/>
  <c r="H25" i="14" s="1"/>
  <c r="N6" i="14"/>
  <c r="O5" i="14"/>
  <c r="H37" i="13"/>
  <c r="H45" i="13"/>
  <c r="N6" i="13"/>
  <c r="O5" i="13"/>
  <c r="AE5" i="11"/>
  <c r="AF5" i="11" s="1"/>
  <c r="AG5" i="11" s="1"/>
  <c r="AH5" i="11" s="1"/>
  <c r="AI5" i="11" s="1"/>
  <c r="AJ5" i="11" s="1"/>
  <c r="AD4" i="11"/>
  <c r="L6" i="11"/>
  <c r="H97" i="13" l="1"/>
  <c r="H90" i="13"/>
  <c r="H62" i="13"/>
  <c r="O6" i="14"/>
  <c r="P5" i="14"/>
  <c r="F24" i="14"/>
  <c r="H24" i="14" s="1"/>
  <c r="E17" i="14"/>
  <c r="H16" i="14"/>
  <c r="F12" i="14"/>
  <c r="H12" i="14" s="1"/>
  <c r="O6" i="13"/>
  <c r="P5" i="13"/>
  <c r="H38" i="13"/>
  <c r="H24" i="13"/>
  <c r="AK5" i="11"/>
  <c r="AL5" i="11" s="1"/>
  <c r="AM5" i="11" s="1"/>
  <c r="AN5" i="11" s="1"/>
  <c r="AO5" i="11" s="1"/>
  <c r="AP5" i="11" s="1"/>
  <c r="AQ5" i="11" s="1"/>
  <c r="M6" i="11"/>
  <c r="H98" i="13" l="1"/>
  <c r="H63" i="13"/>
  <c r="E18" i="14"/>
  <c r="F17" i="14"/>
  <c r="H17" i="14" s="1"/>
  <c r="P6" i="14"/>
  <c r="Q5" i="14"/>
  <c r="P4" i="14"/>
  <c r="H25" i="13"/>
  <c r="P6" i="13"/>
  <c r="Q5" i="13"/>
  <c r="P4" i="13"/>
  <c r="AR5" i="11"/>
  <c r="AS5" i="11" s="1"/>
  <c r="AK4" i="11"/>
  <c r="N6" i="11"/>
  <c r="H67" i="13" l="1"/>
  <c r="Q6" i="14"/>
  <c r="R5" i="14"/>
  <c r="E19" i="14"/>
  <c r="F18" i="14"/>
  <c r="H18" i="14" s="1"/>
  <c r="Q6" i="13"/>
  <c r="R5" i="13"/>
  <c r="H26" i="13"/>
  <c r="AT5" i="11"/>
  <c r="AS6" i="11"/>
  <c r="AR4" i="11"/>
  <c r="O6" i="11"/>
  <c r="H99" i="13" l="1"/>
  <c r="F19" i="14"/>
  <c r="H19" i="14" s="1"/>
  <c r="R6" i="14"/>
  <c r="S5" i="14"/>
  <c r="H30" i="13"/>
  <c r="R6" i="13"/>
  <c r="S5" i="13"/>
  <c r="AU5" i="11"/>
  <c r="AT6" i="11"/>
  <c r="S6" i="14" l="1"/>
  <c r="T5" i="14"/>
  <c r="S6" i="13"/>
  <c r="T5" i="13"/>
  <c r="AV5" i="11"/>
  <c r="AU6" i="11"/>
  <c r="P6" i="11"/>
  <c r="Q6" i="11"/>
  <c r="T6" i="14" l="1"/>
  <c r="U5" i="14"/>
  <c r="T6" i="13"/>
  <c r="U5" i="13"/>
  <c r="AW5" i="11"/>
  <c r="AV6" i="11"/>
  <c r="R6" i="11"/>
  <c r="U6" i="14" l="1"/>
  <c r="V5" i="14"/>
  <c r="U6" i="13"/>
  <c r="V5" i="13"/>
  <c r="AX5" i="11"/>
  <c r="AY5" i="11" s="1"/>
  <c r="AW6" i="11"/>
  <c r="S6" i="11"/>
  <c r="V6" i="14" l="1"/>
  <c r="W5" i="14"/>
  <c r="V6" i="13"/>
  <c r="W5" i="13"/>
  <c r="AY6" i="11"/>
  <c r="AZ5" i="11"/>
  <c r="AY4" i="11"/>
  <c r="AX6" i="11"/>
  <c r="T6" i="11"/>
  <c r="W6" i="14" l="1"/>
  <c r="X5" i="14"/>
  <c r="W4" i="14"/>
  <c r="W6" i="13"/>
  <c r="X5" i="13"/>
  <c r="W4" i="13"/>
  <c r="BA5" i="11"/>
  <c r="AZ6" i="11"/>
  <c r="U6" i="11"/>
  <c r="X6" i="14" l="1"/>
  <c r="Y5" i="14"/>
  <c r="X6" i="13"/>
  <c r="Y5" i="13"/>
  <c r="BA6" i="11"/>
  <c r="BB5" i="11"/>
  <c r="V6" i="11"/>
  <c r="Y6" i="14" l="1"/>
  <c r="Z5" i="14"/>
  <c r="Y6" i="13"/>
  <c r="Z5" i="13"/>
  <c r="BB6" i="11"/>
  <c r="BC5" i="11"/>
  <c r="W6" i="11"/>
  <c r="Z6" i="14" l="1"/>
  <c r="AA5" i="14"/>
  <c r="Z6" i="13"/>
  <c r="AA5" i="13"/>
  <c r="BC6" i="11"/>
  <c r="BD5" i="11"/>
  <c r="X6" i="11"/>
  <c r="AA6" i="14" l="1"/>
  <c r="AB5" i="14"/>
  <c r="AA6" i="13"/>
  <c r="AB5" i="13"/>
  <c r="BE5" i="11"/>
  <c r="BD6" i="11"/>
  <c r="Y6" i="11"/>
  <c r="AB6" i="14" l="1"/>
  <c r="AC5" i="14"/>
  <c r="AB6" i="13"/>
  <c r="AC5" i="13"/>
  <c r="BE6" i="11"/>
  <c r="BF5" i="11"/>
  <c r="Z6" i="11"/>
  <c r="AC6" i="14" l="1"/>
  <c r="AD5" i="14"/>
  <c r="AC6" i="13"/>
  <c r="AD5" i="13"/>
  <c r="BF6" i="11"/>
  <c r="BG5" i="11"/>
  <c r="BF4" i="11"/>
  <c r="AA6" i="11"/>
  <c r="AD6" i="14" l="1"/>
  <c r="AE5" i="14"/>
  <c r="AD4" i="14"/>
  <c r="AD6" i="13"/>
  <c r="AE5" i="13"/>
  <c r="AD4" i="13"/>
  <c r="BG6" i="11"/>
  <c r="BH5" i="11"/>
  <c r="AB6" i="11"/>
  <c r="AE6" i="14" l="1"/>
  <c r="AF5" i="14"/>
  <c r="AE6" i="13"/>
  <c r="AF5" i="13"/>
  <c r="BI5" i="11"/>
  <c r="BH6" i="11"/>
  <c r="AC6" i="11"/>
  <c r="AF6" i="14" l="1"/>
  <c r="AG5" i="14"/>
  <c r="AF6" i="13"/>
  <c r="AG5" i="13"/>
  <c r="BJ5" i="11"/>
  <c r="BI6" i="11"/>
  <c r="AD6" i="11"/>
  <c r="AG6" i="14" l="1"/>
  <c r="AH5" i="14"/>
  <c r="AG6" i="13"/>
  <c r="AH5" i="13"/>
  <c r="BK5" i="11"/>
  <c r="BJ6" i="11"/>
  <c r="AE6" i="11"/>
  <c r="AH6" i="14" l="1"/>
  <c r="AI5" i="14"/>
  <c r="AH6" i="13"/>
  <c r="AI5" i="13"/>
  <c r="BL5" i="11"/>
  <c r="BK6" i="11"/>
  <c r="AF6" i="11"/>
  <c r="AI6" i="14" l="1"/>
  <c r="AJ5" i="14"/>
  <c r="AI6" i="13"/>
  <c r="AJ5" i="13"/>
  <c r="BL6" i="11"/>
  <c r="AG6" i="11"/>
  <c r="AJ6" i="14" l="1"/>
  <c r="AK5" i="14"/>
  <c r="AJ6" i="13"/>
  <c r="AK5" i="13"/>
  <c r="AH6" i="11"/>
  <c r="AK6" i="14" l="1"/>
  <c r="AL5" i="14"/>
  <c r="AK4" i="14"/>
  <c r="AK6" i="13"/>
  <c r="AL5" i="13"/>
  <c r="AK4" i="13"/>
  <c r="AI6" i="11"/>
  <c r="AL6" i="14" l="1"/>
  <c r="AM5" i="14"/>
  <c r="AL6" i="13"/>
  <c r="AM5" i="13"/>
  <c r="AJ6" i="11"/>
  <c r="AM6" i="14" l="1"/>
  <c r="AN5" i="14"/>
  <c r="AM6" i="13"/>
  <c r="AN5" i="13"/>
  <c r="AK6" i="11"/>
  <c r="AN6" i="14" l="1"/>
  <c r="AO5" i="14"/>
  <c r="AN6" i="13"/>
  <c r="AO5" i="13"/>
  <c r="AL6" i="11"/>
  <c r="AO6" i="14" l="1"/>
  <c r="AP5" i="14"/>
  <c r="AO6" i="13"/>
  <c r="AP5" i="13"/>
  <c r="AM6" i="11"/>
  <c r="AP6" i="14" l="1"/>
  <c r="AQ5" i="14"/>
  <c r="AP6" i="13"/>
  <c r="AQ5" i="13"/>
  <c r="AN6" i="11"/>
  <c r="AQ6" i="14" l="1"/>
  <c r="AR5" i="14"/>
  <c r="AQ6" i="13"/>
  <c r="AR5" i="13"/>
  <c r="AO6" i="11"/>
  <c r="AR6" i="14" l="1"/>
  <c r="AS5" i="14"/>
  <c r="AR4" i="14"/>
  <c r="AR6" i="13"/>
  <c r="AS5" i="13"/>
  <c r="AR4" i="13"/>
  <c r="AP6" i="11"/>
  <c r="AS6" i="14" l="1"/>
  <c r="AT5" i="14"/>
  <c r="AS6" i="13"/>
  <c r="AT5" i="13"/>
  <c r="AQ6" i="11"/>
  <c r="AT6" i="14" l="1"/>
  <c r="AU5" i="14"/>
  <c r="AT6" i="13"/>
  <c r="AU5" i="13"/>
  <c r="AR6" i="11"/>
  <c r="AU6" i="14" l="1"/>
  <c r="AV5" i="14"/>
  <c r="AU6" i="13"/>
  <c r="AV5" i="13"/>
  <c r="AV6" i="14" l="1"/>
  <c r="AW5" i="14"/>
  <c r="AV6" i="13"/>
  <c r="AW5" i="13"/>
  <c r="AW6" i="14" l="1"/>
  <c r="AX5" i="14"/>
  <c r="AW6" i="13"/>
  <c r="AX5" i="13"/>
  <c r="AX6" i="14" l="1"/>
  <c r="AY5" i="14"/>
  <c r="AX6" i="13"/>
  <c r="AY5" i="13"/>
  <c r="AY6" i="14" l="1"/>
  <c r="AZ5" i="14"/>
  <c r="AY4" i="14"/>
  <c r="AY6" i="13"/>
  <c r="AZ5" i="13"/>
  <c r="AY4" i="13"/>
  <c r="AZ6" i="14" l="1"/>
  <c r="BA5" i="14"/>
  <c r="AZ6" i="13"/>
  <c r="BA5" i="13"/>
  <c r="BA6" i="14" l="1"/>
  <c r="BB5" i="14"/>
  <c r="BA6" i="13"/>
  <c r="BB5" i="13"/>
  <c r="BB6" i="14" l="1"/>
  <c r="BC5" i="14"/>
  <c r="BB6" i="13"/>
  <c r="BC5" i="13"/>
  <c r="BC6" i="14" l="1"/>
  <c r="BD5" i="14"/>
  <c r="BC6" i="13"/>
  <c r="BD5" i="13"/>
  <c r="BD6" i="14" l="1"/>
  <c r="BE5" i="14"/>
  <c r="BD6" i="13"/>
  <c r="BE5" i="13"/>
  <c r="BE6" i="14" l="1"/>
  <c r="BF5" i="14"/>
  <c r="BE6" i="13"/>
  <c r="BF5" i="13"/>
  <c r="BF6" i="14" l="1"/>
  <c r="BG5" i="14"/>
  <c r="BF4" i="14"/>
  <c r="BF6" i="13"/>
  <c r="BG5" i="13"/>
  <c r="BF4" i="13"/>
  <c r="BG6" i="14" l="1"/>
  <c r="BH5" i="14"/>
  <c r="BG6" i="13"/>
  <c r="BH5" i="13"/>
  <c r="BH6" i="14" l="1"/>
  <c r="BI5" i="14"/>
  <c r="BH6" i="13"/>
  <c r="BI5" i="13"/>
  <c r="BI6" i="14" l="1"/>
  <c r="BJ5" i="14"/>
  <c r="BI6" i="13"/>
  <c r="BJ5" i="13"/>
  <c r="BJ6" i="14" l="1"/>
  <c r="BK5" i="14"/>
  <c r="BJ6" i="13"/>
  <c r="BK5" i="13"/>
  <c r="BK6" i="14" l="1"/>
  <c r="BL5" i="14"/>
  <c r="BL6" i="14" s="1"/>
  <c r="BK6" i="13"/>
  <c r="BL5" i="13"/>
  <c r="BL6" i="13" l="1"/>
  <c r="BM5" i="13"/>
  <c r="BM6" i="13" l="1"/>
  <c r="BN5" i="13"/>
  <c r="BM4" i="13"/>
  <c r="BN6" i="13" l="1"/>
  <c r="BO5" i="13"/>
  <c r="BO6" i="13" l="1"/>
  <c r="BP5" i="13"/>
  <c r="BP6" i="13" l="1"/>
  <c r="BQ5" i="13"/>
  <c r="BQ6" i="13" l="1"/>
  <c r="BR5" i="13"/>
  <c r="BR6" i="13" l="1"/>
  <c r="BS5" i="13"/>
  <c r="BS6" i="13" l="1"/>
  <c r="BT5" i="13"/>
  <c r="BT6" i="13" l="1"/>
  <c r="BU5" i="13"/>
  <c r="BT4" i="13"/>
  <c r="BU6" i="13" l="1"/>
  <c r="BV5" i="13"/>
  <c r="BV6" i="13" l="1"/>
  <c r="BW5" i="13"/>
  <c r="BW6" i="13" l="1"/>
  <c r="BX5" i="13"/>
  <c r="BX6" i="13" l="1"/>
  <c r="BY5" i="13"/>
  <c r="BY6" i="13" l="1"/>
  <c r="BZ5" i="13"/>
  <c r="CA5" i="13" l="1"/>
  <c r="BZ6" i="13"/>
  <c r="CA4" i="13" l="1"/>
  <c r="CB5" i="13"/>
  <c r="CA6" i="13"/>
  <c r="CC5" i="13" l="1"/>
  <c r="CB6" i="13"/>
  <c r="CD5" i="13" l="1"/>
  <c r="CC6" i="13"/>
  <c r="CE5" i="13" l="1"/>
  <c r="CD6" i="13"/>
  <c r="CF5" i="13" l="1"/>
  <c r="CE6" i="13"/>
  <c r="CG5" i="13" l="1"/>
  <c r="CF6" i="13"/>
  <c r="CH5" i="13" l="1"/>
  <c r="CG6" i="13"/>
  <c r="CH4" i="13" l="1"/>
  <c r="CI5" i="13"/>
  <c r="CH6" i="13"/>
  <c r="CJ5" i="13" l="1"/>
  <c r="CI6" i="13"/>
  <c r="CK5" i="13" l="1"/>
  <c r="CJ6" i="13"/>
  <c r="CL5" i="13" l="1"/>
  <c r="CK6" i="13"/>
  <c r="CM5" i="13" l="1"/>
  <c r="CL6" i="13"/>
  <c r="CN5" i="13" l="1"/>
  <c r="CM6" i="13"/>
  <c r="CO5" i="13" l="1"/>
  <c r="CN6" i="13"/>
  <c r="CO4" i="13" l="1"/>
  <c r="CP5" i="13"/>
  <c r="CO6" i="13"/>
  <c r="CQ5" i="13" l="1"/>
  <c r="CP6" i="13"/>
  <c r="CR5" i="13" l="1"/>
  <c r="CQ6" i="13"/>
  <c r="CS5" i="13" l="1"/>
  <c r="CR6" i="13"/>
  <c r="CT5" i="13" l="1"/>
  <c r="CS6" i="13"/>
  <c r="CU5" i="13" l="1"/>
  <c r="CT6" i="13"/>
  <c r="CV5" i="13" l="1"/>
  <c r="CU6" i="13"/>
  <c r="CV4" i="13" l="1"/>
  <c r="CW5" i="13"/>
  <c r="CV6" i="13"/>
  <c r="CX5" i="13" l="1"/>
  <c r="CW6" i="13"/>
  <c r="CY5" i="13" l="1"/>
  <c r="CX6" i="13"/>
  <c r="CZ5" i="13" l="1"/>
  <c r="CY6" i="13"/>
  <c r="DA5" i="13" l="1"/>
  <c r="CZ6" i="13"/>
  <c r="DB5" i="13" l="1"/>
  <c r="DA6" i="13"/>
  <c r="DC5" i="13" l="1"/>
  <c r="DB6" i="13"/>
  <c r="DC4" i="13" l="1"/>
  <c r="DD5" i="13"/>
  <c r="DC6" i="13"/>
  <c r="DE5" i="13" l="1"/>
  <c r="DD6" i="13"/>
  <c r="DF5" i="13" l="1"/>
  <c r="DE6" i="13"/>
  <c r="DG5" i="13" l="1"/>
  <c r="DF6" i="13"/>
  <c r="DH5" i="13" l="1"/>
  <c r="DG6" i="13"/>
  <c r="DI5" i="13" l="1"/>
  <c r="DH6" i="13"/>
  <c r="DJ5" i="13" l="1"/>
  <c r="DI6" i="13"/>
  <c r="DJ4" i="13" l="1"/>
  <c r="DK5" i="13"/>
  <c r="DJ6" i="13"/>
  <c r="DL5" i="13" l="1"/>
  <c r="DK6" i="13"/>
  <c r="DM5" i="13" l="1"/>
  <c r="DL6" i="13"/>
  <c r="DN5" i="13" l="1"/>
  <c r="DM6" i="13"/>
  <c r="DO5" i="13" l="1"/>
  <c r="DN6" i="13"/>
  <c r="DP5" i="13" l="1"/>
  <c r="DO6" i="13"/>
  <c r="DQ5" i="13" l="1"/>
  <c r="DP6" i="13"/>
  <c r="DQ4" i="13" l="1"/>
  <c r="DR5" i="13"/>
  <c r="DQ6" i="13"/>
  <c r="DS5" i="13" l="1"/>
  <c r="DR6" i="13"/>
  <c r="DT5" i="13" l="1"/>
  <c r="DS6" i="13"/>
  <c r="DU5" i="13" l="1"/>
  <c r="DT6" i="13"/>
  <c r="DV5" i="13" l="1"/>
  <c r="DU6" i="13"/>
  <c r="DW5" i="13" l="1"/>
  <c r="DV6" i="13"/>
  <c r="DX5" i="13" l="1"/>
  <c r="DW6" i="13"/>
  <c r="DX4" i="13" l="1"/>
  <c r="DY5" i="13"/>
  <c r="DX6" i="13"/>
  <c r="DZ5" i="13" l="1"/>
  <c r="DY6" i="13"/>
  <c r="EA5" i="13" l="1"/>
  <c r="DZ6" i="13"/>
  <c r="EB5" i="13" l="1"/>
  <c r="EA6" i="13"/>
  <c r="EC5" i="13" l="1"/>
  <c r="EB6" i="13"/>
  <c r="ED5" i="13" l="1"/>
  <c r="EC6" i="13"/>
  <c r="EE5" i="13" l="1"/>
  <c r="ED6" i="13"/>
  <c r="EE4" i="13" l="1"/>
  <c r="EF5" i="13"/>
  <c r="EE6" i="13"/>
  <c r="EG5" i="13" l="1"/>
  <c r="EF6" i="13"/>
  <c r="EH5" i="13" l="1"/>
  <c r="EG6" i="13"/>
  <c r="EI5" i="13" l="1"/>
  <c r="EH6" i="13"/>
  <c r="EJ5" i="13" l="1"/>
  <c r="EI6" i="13"/>
  <c r="EK5" i="13" l="1"/>
  <c r="EJ6" i="13"/>
  <c r="EL5" i="13" l="1"/>
  <c r="EK6" i="13"/>
  <c r="EL4" i="13" l="1"/>
  <c r="EM5" i="13"/>
  <c r="EL6" i="13"/>
  <c r="EN5" i="13" l="1"/>
  <c r="EM6" i="13"/>
  <c r="EO5" i="13" l="1"/>
  <c r="EN6" i="13"/>
  <c r="EP5" i="13" l="1"/>
  <c r="EO6" i="13"/>
  <c r="EQ5" i="13" l="1"/>
  <c r="EP6" i="13"/>
  <c r="ER5" i="13" l="1"/>
  <c r="EQ6" i="13"/>
  <c r="ES5" i="13" l="1"/>
  <c r="ER6" i="13"/>
  <c r="ES4" i="13" l="1"/>
  <c r="ET5" i="13"/>
  <c r="ES6" i="13"/>
  <c r="EU5" i="13" l="1"/>
  <c r="ET6" i="13"/>
  <c r="EV5" i="13" l="1"/>
  <c r="EU6" i="13"/>
  <c r="EW5" i="13" l="1"/>
  <c r="EV6" i="13"/>
  <c r="EX5" i="13" l="1"/>
  <c r="EW6" i="13"/>
  <c r="EY5" i="13" l="1"/>
  <c r="EX6" i="13"/>
  <c r="EZ5" i="13" l="1"/>
  <c r="EY6" i="13"/>
  <c r="EZ4" i="13" l="1"/>
  <c r="FA5" i="13"/>
  <c r="EZ6" i="13"/>
  <c r="FB5" i="13" l="1"/>
  <c r="FA6" i="13"/>
  <c r="FC5" i="13" l="1"/>
  <c r="FB6" i="13"/>
  <c r="FD5" i="13" l="1"/>
  <c r="FC6" i="13"/>
  <c r="FE5" i="13" l="1"/>
  <c r="FD6" i="13"/>
  <c r="FF5" i="13" l="1"/>
  <c r="FE6" i="13"/>
  <c r="FG5" i="13" l="1"/>
  <c r="FF6" i="13"/>
  <c r="FG4" i="13" l="1"/>
  <c r="FH5" i="13"/>
  <c r="FG6" i="13"/>
  <c r="FI5" i="13" l="1"/>
  <c r="FH6" i="13"/>
  <c r="FJ5" i="13" l="1"/>
  <c r="FI6" i="13"/>
  <c r="FK5" i="13" l="1"/>
  <c r="FJ6" i="13"/>
  <c r="FL5" i="13" l="1"/>
  <c r="FK6" i="13"/>
  <c r="FM5" i="13" l="1"/>
  <c r="FL6" i="13"/>
  <c r="FN5" i="13" l="1"/>
  <c r="FM6" i="13"/>
  <c r="FN4" i="13" l="1"/>
  <c r="FO5" i="13"/>
  <c r="FN6" i="13"/>
  <c r="FP5" i="13" l="1"/>
  <c r="FO6" i="13"/>
  <c r="FQ5" i="13" l="1"/>
  <c r="FP6" i="13"/>
  <c r="FR5" i="13" l="1"/>
  <c r="FQ6" i="13"/>
  <c r="FS5" i="13" l="1"/>
  <c r="FR6" i="13"/>
  <c r="FT5" i="13" l="1"/>
  <c r="FS6" i="13"/>
  <c r="FU5" i="13" l="1"/>
  <c r="FT6" i="13"/>
  <c r="FU4" i="13" l="1"/>
  <c r="FV5" i="13"/>
  <c r="FU6" i="13"/>
  <c r="FW5" i="13" l="1"/>
  <c r="FV6" i="13"/>
  <c r="FX5" i="13" l="1"/>
  <c r="FW6" i="13"/>
  <c r="FY5" i="13" l="1"/>
  <c r="FX6" i="13"/>
  <c r="FZ5" i="13" l="1"/>
  <c r="FY6" i="13"/>
  <c r="GA5" i="13" l="1"/>
  <c r="FZ6" i="13"/>
  <c r="GB5" i="13" l="1"/>
  <c r="GA6" i="13"/>
  <c r="GB4" i="13" l="1"/>
  <c r="GC5" i="13"/>
  <c r="GB6" i="13"/>
  <c r="GD5" i="13" l="1"/>
  <c r="GC6" i="13"/>
  <c r="GE5" i="13" l="1"/>
  <c r="GD6" i="13"/>
  <c r="GF5" i="13" l="1"/>
  <c r="GE6" i="13"/>
  <c r="GG5" i="13" l="1"/>
  <c r="GF6" i="13"/>
  <c r="GH5" i="13" l="1"/>
  <c r="GG6" i="13"/>
  <c r="GI5" i="13" l="1"/>
  <c r="GH6" i="13"/>
  <c r="GI4" i="13" l="1"/>
  <c r="GJ5" i="13"/>
  <c r="GI6" i="13"/>
  <c r="GK5" i="13" l="1"/>
  <c r="GJ6" i="13"/>
  <c r="GL5" i="13" l="1"/>
  <c r="GK6" i="13"/>
  <c r="GM5" i="13" l="1"/>
  <c r="GL6" i="13"/>
  <c r="GN5" i="13" l="1"/>
  <c r="GM6" i="13"/>
  <c r="GO5" i="13" l="1"/>
  <c r="GO6" i="13" s="1"/>
  <c r="GN6"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<sst xmlns="http://schemas.openxmlformats.org/spreadsheetml/2006/main" count="613" uniqueCount="205">
  <si>
    <t>Painel de Acompanhamento</t>
  </si>
  <si>
    <t>MICRORREGIÃO BELO HORIZONTE/NOVA LIMA/SANTA LUZIA</t>
  </si>
  <si>
    <t>Eixo: 2 - Formação e Desenvolvimento</t>
  </si>
  <si>
    <t>OBJETIVO:</t>
  </si>
  <si>
    <t>Implementar um GT de Saúde Digital microrregional para formação dos profissionais de saúde</t>
  </si>
  <si>
    <t>Descrição do objetivo</t>
  </si>
  <si>
    <t>Fortalecer a capacidade institucional dos municípios para planejar, implementar e sustentar ações de saúde digital, por meio de uma estrutura organizada de governança e de processos contínuos de formação, alinhados às diretrizes estaduais e às necessidades do território.</t>
  </si>
  <si>
    <t>Resultados esperados</t>
  </si>
  <si>
    <t xml:space="preserve">- Estrutura microrregional organizada para coordenação das ações de formação em saúde digital;
- Profissionais municipais mais qualificados para atuar nos processos e sistemas de saúde digital;
- Maior alinhamento entre as formações realizadas e as prioridades regionais;
- Uso mais consistente das ferramentas e informações digitais no apoio à gestão e à assistência.
- Redução no retrabalho por uso errado de sistemas e produção de informações. </t>
  </si>
  <si>
    <t>AT1</t>
  </si>
  <si>
    <t>Criar a Governança do GT de Saúde Digital para formação</t>
  </si>
  <si>
    <r>
      <t>Descrição:</t>
    </r>
    <r>
      <rPr>
        <sz val="11"/>
        <color rgb="FF000000"/>
        <rFont val="Calibri"/>
        <family val="2"/>
        <scheme val="minor"/>
      </rPr>
      <t xml:space="preserve"> Constituir uma instância microrregional de articulação e coordenação das ações de formação em saúde digital, reunindo representantes das áreas técnicas, de gestão, TIC e educação permanente, com a finalidade de planejar, organizar, acompanhar e alinhar as formações às necessidades regionais e às diretrizes estaduais.</t>
    </r>
  </si>
  <si>
    <t>AÇÕES CHAVE PARA CONCLUIR A ATIVIDADE</t>
  </si>
  <si>
    <t>Áreas envolvidas</t>
  </si>
  <si>
    <t>Status</t>
  </si>
  <si>
    <t>Data de Início</t>
  </si>
  <si>
    <t>Término Planejado</t>
  </si>
  <si>
    <t>Tendência de Término</t>
  </si>
  <si>
    <t>Definir escopo do grupo (responsabilidades, atribuições, frequência das reuniões, governança)</t>
  </si>
  <si>
    <t>SMS, NSDIGI, Regional, Cosems</t>
  </si>
  <si>
    <t>Indicar representantes</t>
  </si>
  <si>
    <t>Gestores Municipais</t>
  </si>
  <si>
    <t>Formalizar equipe Intersetorial na CIB microrregional</t>
  </si>
  <si>
    <t>Capacitar equipe intersetorial</t>
  </si>
  <si>
    <t>NSDIGI</t>
  </si>
  <si>
    <t>AT2</t>
  </si>
  <si>
    <t>Implementar gestão regional de formações</t>
  </si>
  <si>
    <r>
      <t xml:space="preserve">Descrição: </t>
    </r>
    <r>
      <rPr>
        <sz val="11"/>
        <color rgb="FF000000"/>
        <rFont val="Calibri"/>
        <family val="2"/>
        <scheme val="minor"/>
      </rPr>
      <t>Estruturar um modelo regional de gestão das formações em saúde digital, contemplando diagnóstico de demandas, definição de públicos-alvo, organização de trilhas de aprendizagem, planejamento de calendário, acompanhamento da participação e sistematização de informações para apoio à tomada de decisão.</t>
    </r>
  </si>
  <si>
    <t>Avaliar dados do Valorizagtes-sus</t>
  </si>
  <si>
    <t>Grupo de Trabalho</t>
  </si>
  <si>
    <t>Avaliar diagnóstico de demanda por formações do Valoriza SUS</t>
  </si>
  <si>
    <t>Avaliar a inclusão da temática de Saúde Digital no Valoriza SUS</t>
  </si>
  <si>
    <t>Criar rotina regional de formação</t>
  </si>
  <si>
    <t>Identificar necessidades locais e planejar ações.</t>
  </si>
  <si>
    <t>Desenvolver protocolos e indicadores.</t>
  </si>
  <si>
    <t>Elaborar modelo  avaliação das formações</t>
  </si>
  <si>
    <t>Definir portfólio de cursos (fixos e sazionais)</t>
  </si>
  <si>
    <t>Solicitar treinamentos conforme necessidades.</t>
  </si>
  <si>
    <t>Apresentar resultados das qualificações - CIB Micro</t>
  </si>
  <si>
    <t>AT3</t>
  </si>
  <si>
    <t>Realizar 1º ciclo completo de formações</t>
  </si>
  <si>
    <r>
      <t xml:space="preserve">Descrição: </t>
    </r>
    <r>
      <rPr>
        <sz val="11"/>
        <color rgb="FF000000"/>
        <rFont val="Calibri"/>
        <family val="2"/>
        <scheme val="minor"/>
      </rPr>
      <t>Executar o primeiro ciclo estruturado de formações em saúde digital na microrregião, mobilizando os profissionais indicados, realizando os treinamentos planejados, sistematizando informações sobre participação e apoiando a análise dos resultados obtidos para orientar os ciclos seguintes de qualificação.</t>
    </r>
  </si>
  <si>
    <t>Realizar campanha de sensibilização e mobilização para formações</t>
  </si>
  <si>
    <t>Grupo de Trabalho; Regional;  Gestores Municipais</t>
  </si>
  <si>
    <t>Realizar formações priorizadas</t>
  </si>
  <si>
    <t>Grupo de Trabalho, Regional, Gestores Municipais, NSDIGI, Grupo de Telessaúde e Gestão de Dados</t>
  </si>
  <si>
    <t>Aplicar avaliação</t>
  </si>
  <si>
    <t>Definir uma rede de apoio pós-treinamentos.</t>
  </si>
  <si>
    <t>Eixo: 4 - Telessaúde</t>
  </si>
  <si>
    <t xml:space="preserve"> Utilizar Telessaúde para otimizar e ampliar o acesso aos serviços do SUS</t>
  </si>
  <si>
    <t>Ampliar e qualificar o acesso aos serviços de saúde por meio da utilização estruturada da Telessaúde, promovendo sua incorporação gradual aos processos assistenciais e de apoio à gestão, de forma articulada entre os municípios e alinhada às diretrizes estaduais.</t>
  </si>
  <si>
    <t>- Governança microrregional organizada para condução das ações de Telessaúde;
- Maior conhecimento sobre a situação de uso da Telessaúde no território;
- Ampliação progressiva do uso da teleconsultoria;
- Profissionais mais preparados para utilizar a Telessaúde de forma adequada e segura.</t>
  </si>
  <si>
    <t>Organizar a governança e a estrutura institucional da Telessaúde</t>
  </si>
  <si>
    <r>
      <rPr>
        <b/>
        <sz val="11"/>
        <color rgb="FF000000"/>
        <rFont val="Calibri"/>
        <family val="2"/>
        <scheme val="minor"/>
      </rPr>
      <t>Descrição</t>
    </r>
    <r>
      <rPr>
        <sz val="11"/>
        <color rgb="FF000000"/>
        <rFont val="Calibri"/>
        <family val="2"/>
        <scheme val="minor"/>
      </rPr>
      <t>: Estruturar a governança microrregional da Telessaúde, definindo instâncias de articulação, responsabilidades, diretrizes de funcionamento, fluxos de utilização, parâmetros mínimos e indicadores, de modo a apoiar a organização, o acompanhamento e o aprimoramento contínuo das ações no território.</t>
    </r>
  </si>
  <si>
    <t>Definir representantes municipais para atuar na condução conjunta da Telessaúde na microrregião</t>
  </si>
  <si>
    <t>Instituir instância de governança microrregional (escopo de atuação, atribuições, regularidade dos encontros etc)</t>
  </si>
  <si>
    <t>SMS ; Equipe da Telessaúde ; NSDIGI ; Cosems</t>
  </si>
  <si>
    <t>Elaborar fluxos para utilização da teleconsultoria</t>
  </si>
  <si>
    <t>Equipe Microrregional</t>
  </si>
  <si>
    <t>Definir parâmetros mínimos de utilização</t>
  </si>
  <si>
    <t>Equipe Microrregional, SES (Equipe da Telessaúde + NSDIGI), Núcleos de telessaúde</t>
  </si>
  <si>
    <t>Definir indicadores de sucesso</t>
  </si>
  <si>
    <t>Elaborar a estratégia microrregional alinhada com as diretrizes estaduais</t>
  </si>
  <si>
    <t>Executar avaliação trimestral</t>
  </si>
  <si>
    <t>Realizar diagnóstico microrregional sobre uso de telessaúde</t>
  </si>
  <si>
    <r>
      <t xml:space="preserve">Descrição: </t>
    </r>
    <r>
      <rPr>
        <sz val="11"/>
        <color theme="1"/>
        <rFont val="Calibri"/>
        <family val="2"/>
        <scheme val="minor"/>
      </rPr>
      <t>Mapear a situação atual da Telessaúde na microrregião, considerando aspectos técnicos, assistenciais, organizacionais e orçamentários, com o objetivo de identificar gargalos, oportunidades e necessidades que subsidiem o planejamento e o fortalecimento do uso dos serviços.</t>
    </r>
  </si>
  <si>
    <t>Apresentar informações sobre a situação de uso da teleconsultoria na microrregião</t>
  </si>
  <si>
    <t>Equipe Microrregional, SES (Equipe da Telessaúde + NSDIGI)</t>
  </si>
  <si>
    <t>Fazer diagnóstico técnico da infraestrutura</t>
  </si>
  <si>
    <t>Levantar gargalos técnicos referentes à implantação</t>
  </si>
  <si>
    <t>Levantar as necessidades assistenciais relacionadas à Telessaúde</t>
  </si>
  <si>
    <t>Identificar a disponibilidade orçamentária para uso da Telessaúde</t>
  </si>
  <si>
    <t>Elaborar plano de ação para superação dos obstáculos identificados</t>
  </si>
  <si>
    <t>Consolidar o uso da telessaúde na microrregião</t>
  </si>
  <si>
    <r>
      <t>Descrição:</t>
    </r>
    <r>
      <rPr>
        <sz val="11"/>
        <color theme="1"/>
        <rFont val="Calibri"/>
        <family val="2"/>
        <scheme val="minor"/>
      </rPr>
      <t xml:space="preserve"> Apoiar a consolidação do uso da Telessaúde no território, por meio da qualificação dos profissionais, organização de agendas, definição de parâmetros de utilização e estímulo à incorporação da Telessaúde nas rotinas assistenciais, respeitando a realidade e o ritmo de cada município.</t>
    </r>
  </si>
  <si>
    <t>Definir agendas seguras para realização das teleconsultorias</t>
  </si>
  <si>
    <t xml:space="preserve">Área Técnica das SMS / Gestores com tomada de decisão </t>
  </si>
  <si>
    <t>Criar repositório permanente de casos e estudos</t>
  </si>
  <si>
    <t xml:space="preserve">Grupo de Estudo </t>
  </si>
  <si>
    <t xml:space="preserve">Estruturar grupo de estudo sobre telessaúde (implementação, operação, inovação... ) </t>
  </si>
  <si>
    <t>Elaborar campanha de sensibilização</t>
  </si>
  <si>
    <t>Definir percentual mínimo de membros das equipes habilitados</t>
  </si>
  <si>
    <t>Preparar material de formação</t>
  </si>
  <si>
    <t>Criar formação básica em telessaúde</t>
  </si>
  <si>
    <t>Realizar formação das equipes indicadas</t>
  </si>
  <si>
    <t>Criar a rede de profissionais habilitados em telessaúde</t>
  </si>
  <si>
    <t>Eixo: 6 - Monitoramento, avaliação e disseminação de informações estratégicas</t>
  </si>
  <si>
    <t>Promover a integração de sistemas oficiais em todos os níveis: Estadual, macrorregional, microrregional e municipal</t>
  </si>
  <si>
    <t>Fortalecer a integração entre os sistemas oficiais de informação em saúde, de forma progressiva e articulada entre os diferentes níveis de gestão, visando qualificar o fluxo de informações, reduzir retrabalhos e apoiar o planejamento, a gestão e a tomada de decisão no território.</t>
  </si>
  <si>
    <t>- Conhecimento estruturado sobre os sistemas de informação utilizados nos municípios;
- Definição de padrões mínimos e arranjos de governança de dados alinhados às diretrizes estaduais;
- Melhoria na circulação e no uso das informações entre os níveis de gestão;
- Uso mais qualificado das informações para apoio às decisões regionais e municipais.</t>
  </si>
  <si>
    <t>Diagnosticar e mapear os sistemas de informação</t>
  </si>
  <si>
    <r>
      <t>Descrição:</t>
    </r>
    <r>
      <rPr>
        <sz val="11"/>
        <color theme="1"/>
        <rFont val="Calibri"/>
        <family val="2"/>
        <scheme val="minor"/>
      </rPr>
      <t xml:space="preserve"> Produzir um diagnóstico estruturado sobre os sistemas de informação utilizados nos municípios, identificando sua finalidade, criticidade, fluxos de dados, aderência às diretrizes estaduais e nacionais, bem como lacunas e oportunidades para subsidiar a priorização e o planejamento da integração.</t>
    </r>
  </si>
  <si>
    <t>Nomear grupo de trabalho da micro</t>
  </si>
  <si>
    <t>Gestores municipais</t>
  </si>
  <si>
    <t>Mapear os sistemas de informação em uso no município (ex: sistemas assistenciais, administrativos, regulatórios e de vigilância)</t>
  </si>
  <si>
    <t>Ponto de Referência municipal em Saúde Digital, Grupo de trabalho, NSDIGI, Regional e Cosems</t>
  </si>
  <si>
    <t>Classificar os sistemas por criticidade e função</t>
  </si>
  <si>
    <t>Grupo de trabalho</t>
  </si>
  <si>
    <t>Identificar sistemas essenciais para continuidade do cuidado</t>
  </si>
  <si>
    <t>Diferenciar sistemas estruturantes de sistemas acessórios</t>
  </si>
  <si>
    <t>Identificar lacunas e necessidades relacionadas à integração</t>
  </si>
  <si>
    <t>Identificar retrabalho, duplicidade de registro e perda de informação</t>
  </si>
  <si>
    <t>Mapear fluxos de dados e uso da informação</t>
  </si>
  <si>
    <t>Identificar quem produz, quem consome e para qual finalidade</t>
  </si>
  <si>
    <t>Verificar aderência aos fluxos estaduais e nacionais (ex: RNDS)</t>
  </si>
  <si>
    <t>Consolidar diagnóstico para apoio à decisão - síntese com sistemas prioritários para integração</t>
  </si>
  <si>
    <t>Apontar riscos e oportunidades para a gestão regional e estadual</t>
  </si>
  <si>
    <t>Definir padrões mínimos e governança de dados</t>
  </si>
  <si>
    <r>
      <rPr>
        <b/>
        <sz val="11"/>
        <color rgb="FF000000"/>
        <rFont val="Calibri"/>
        <scheme val="minor"/>
      </rPr>
      <t xml:space="preserve">Descrição: </t>
    </r>
    <r>
      <rPr>
        <sz val="11"/>
        <color rgb="FF000000"/>
        <rFont val="Calibri"/>
        <scheme val="minor"/>
      </rPr>
      <t>Estabelecer padrões mínimos de interoperabilidade, regras de acesso e segurança da informação e arranjos locais de governança de dados, alinhados às orientações estaduais, com foco em criar condições institucionais para uma integração segura, gradual e sustentável dos sistemas.</t>
    </r>
  </si>
  <si>
    <t>Instituir governança local de dados</t>
  </si>
  <si>
    <t>Grupo de trabalho, NSDIGI, Gestores Municipais</t>
  </si>
  <si>
    <t>Definir fluxos de decisão e escalonamento</t>
  </si>
  <si>
    <t>Comitê de Governança</t>
  </si>
  <si>
    <t>Estabelecer fluxo de comunicação com a regional e o estado</t>
  </si>
  <si>
    <t>Definir instância mínima de decisão (ponto focal ou comitê)</t>
  </si>
  <si>
    <t>Designar responsáveis formais pela governança dos dados</t>
  </si>
  <si>
    <t>Definir regras de acesso e segurança da informação</t>
  </si>
  <si>
    <t>Alinhar regras à LGPD e às diretrizes estaduais</t>
  </si>
  <si>
    <t>Definir escopo claro do que será integrado em cada fase</t>
  </si>
  <si>
    <t>Priorizar padrões conforme sistemas críticos mapeados</t>
  </si>
  <si>
    <t>Priorizar padrões compatíveis com sistemas já existentes</t>
  </si>
  <si>
    <t>Estabelecer padrões mínimos de troca de dados</t>
  </si>
  <si>
    <t>Definir padrões básicos de interoperabilidade conforme orientação estadual</t>
  </si>
  <si>
    <t>Grupo de trabalho, NSDIGI</t>
  </si>
  <si>
    <t>Capacitar e fortalecer o uso da informação</t>
  </si>
  <si>
    <r>
      <rPr>
        <b/>
        <sz val="11"/>
        <color rgb="FF000000"/>
        <rFont val="Calibri"/>
        <scheme val="minor"/>
      </rPr>
      <t xml:space="preserve">Descrição: </t>
    </r>
    <r>
      <rPr>
        <sz val="11"/>
        <color rgb="FF000000"/>
        <rFont val="Calibri"/>
        <scheme val="minor"/>
      </rPr>
      <t>Apoiar o fortalecimento das capacidades dos profissionais e gestores para o uso qualificado das informações em saúde, por meio de ações de capacitação, orientação e estímulo à incorporação dos dados disponíveis nos processos de planejamento, monitoramento e tomada de decisão.</t>
    </r>
  </si>
  <si>
    <t>Definir público estratégico para capacitação</t>
  </si>
  <si>
    <t>Definir instrumentos e periodicidade de capacitação</t>
  </si>
  <si>
    <t>Estabelecer formatos adequados (oficinas, apoio técnico, materiais)</t>
  </si>
  <si>
    <t>Instituir rotinas de uso da informação</t>
  </si>
  <si>
    <t>Capacitar para uso da informação na gestão</t>
  </si>
  <si>
    <t>Capacitar para uso qualificado dos sistemas integrados</t>
  </si>
  <si>
    <t>Treinar com base nos sistemas efetivamente priorizados</t>
  </si>
  <si>
    <t>Criar momentos formais de análise de dados</t>
  </si>
  <si>
    <t xml:space="preserve">Criar cultura de uso contínuo da informação para tomada de decisões </t>
  </si>
  <si>
    <t>Eixo</t>
  </si>
  <si>
    <t>Macroatividade</t>
  </si>
  <si>
    <t>Ação</t>
  </si>
  <si>
    <t>Área Responsável</t>
  </si>
  <si>
    <t>Início</t>
  </si>
  <si>
    <t>Fim</t>
  </si>
  <si>
    <t>Duração (dias)</t>
  </si>
  <si>
    <t>Eixo 2</t>
  </si>
  <si>
    <t>Eixo 4</t>
  </si>
  <si>
    <t>Eixo 6</t>
  </si>
  <si>
    <t>descrição atividade</t>
  </si>
  <si>
    <t>micro</t>
  </si>
  <si>
    <t>Objetivo</t>
  </si>
  <si>
    <r>
      <rPr>
        <sz val="11"/>
        <color rgb="FF000000"/>
        <rFont val="Calibri"/>
        <scheme val="minor"/>
      </rPr>
      <t xml:space="preserve">Neste gráfico de Gantt, </t>
    </r>
    <r>
      <rPr>
        <b/>
        <sz val="11"/>
        <color rgb="FF000000"/>
        <rFont val="Calibri"/>
        <scheme val="minor"/>
      </rPr>
      <t>cada eixo aparece separadamente</t>
    </r>
    <r>
      <rPr>
        <sz val="11"/>
        <color rgb="FF000000"/>
        <rFont val="Calibri"/>
        <scheme val="minor"/>
      </rPr>
      <t>, com cada ação deste eixo organizada por data de execução. Cada um dos eixos a ser trabalhado está identificado por cores, quais sejam:</t>
    </r>
  </si>
  <si>
    <r>
      <rPr>
        <sz val="11"/>
        <color rgb="FF000000"/>
        <rFont val="Calibri"/>
        <scheme val="minor"/>
      </rPr>
      <t xml:space="preserve">Este gráfico de Gantt está </t>
    </r>
    <r>
      <rPr>
        <b/>
        <sz val="11"/>
        <color rgb="FF000000"/>
        <rFont val="Calibri"/>
        <scheme val="minor"/>
      </rPr>
      <t>organizado por data de execução</t>
    </r>
    <r>
      <rPr>
        <sz val="11"/>
        <color rgb="FF000000"/>
        <rFont val="Calibri"/>
        <scheme val="minor"/>
      </rPr>
      <t>, independente da segmentação por eixo. As ações de cada eixo a ser trabalhado estão identificadas por cores, quais sejam:</t>
    </r>
  </si>
  <si>
    <t>Eixo 4 - Telessaúde</t>
  </si>
  <si>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</si>
  <si>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GRÁFICO DE GANTT SIMPLES por Vertex42.com</t>
  </si>
  <si>
    <t>Insira o Nome da empresa na célula B2.</t>
  </si>
  <si>
    <t>https://www.vertex42.com/ExcelTemplates/simple-gantt-chart.html</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</si>
  <si>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</si>
  <si>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</si>
  <si>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</si>
  <si>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</si>
  <si>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</si>
  <si>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</si>
  <si>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</si>
  <si>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</si>
  <si>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</si>
  <si>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</si>
  <si>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</si>
  <si>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</si>
  <si>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</si>
  <si>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</si>
  <si>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</si>
  <si>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</si>
  <si>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Desenhar e institucionalizar a estratégia de Telessaúde no município.</t>
  </si>
  <si>
    <t>Micro Pouso Alegre</t>
  </si>
  <si>
    <t>TAREFA</t>
  </si>
  <si>
    <t>ATV 1 - PLANEJAMENTO E ESTRUTURAÇÃO</t>
  </si>
  <si>
    <t>Nome</t>
  </si>
  <si>
    <t>Título Fase 2</t>
  </si>
  <si>
    <t>Tarefa 1</t>
  </si>
  <si>
    <t>Tarefa 2</t>
  </si>
  <si>
    <t>Tarefa 3</t>
  </si>
  <si>
    <t>Tarefa 4</t>
  </si>
  <si>
    <t>Tarefa 5</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</si>
  <si>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</si>
  <si>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</si>
  <si>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</si>
  <si>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</si>
  <si>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</si>
  <si>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</si>
  <si>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TÍTULO DO PROJETO</t>
  </si>
  <si>
    <t>Nome da empresa</t>
  </si>
  <si>
    <t>Líder do projeto</t>
  </si>
  <si>
    <t>Atividade 1 XXXXX</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</si>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</sst>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7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0"/>
      <color theme="0"/>
      <name val="Calibri"/>
      <family val="2"/>
      <scheme val="minor"/>
    </font>
    <font>
      <sz val="10"/>
      <color rgb="FF000000"/>
      <name val="Calibri"/>
      <family val="2"/>
      <scheme val="minor"/>
    </font>
    <font>
      <sz val="10"/>
      <color rgb="FF000000"/>
      <name val="Arial"/>
      <family val="2"/>
    </font>
    <font>
      <i/>
      <sz val="10"/>
      <color rgb="FF000000"/>
      <name val="Arial"/>
      <family val="2"/>
    </font>
    <font>
      <b/>
      <sz val="10"/>
      <color rgb="FF000000"/>
      <name val="Arial"/>
      <family val="2"/>
    </font>
    <font>
      <sz val="11"/>
      <color rgb="FF000000"/>
      <name val="Arial"/>
      <family val="2"/>
    </font>
    <font>
      <b/>
      <sz val="11"/>
      <color rgb="FF000000"/>
      <name val="Arial"/>
      <family val="2"/>
    </font>
    <font>
      <sz val="11"/>
      <color rgb="FF000000"/>
      <name val="Calibri"/>
      <family val="2"/>
    </font>
    <font>
      <b/>
      <sz val="11"/>
      <color theme="1"/>
      <name val="Roboto"/>
    </font>
    <font>
      <b/>
      <sz val="11"/>
      <color rgb="FF000000"/>
      <name val="Calibri"/>
      <family val="2"/>
      <scheme val="minor"/>
    </font>
    <font>
      <sz val="11"/>
      <color rgb="FF000000"/>
      <name val="Aptos Narrow"/>
      <family val="2"/>
    </font>
    <font>
      <b/>
      <sz val="16"/>
      <color rgb="FF000000"/>
      <name val="Arial"/>
      <family val="2"/>
    </font>
    <font>
      <sz val="16"/>
      <name val="Arial"/>
      <family val="2"/>
    </font>
    <font>
      <sz val="16"/>
      <color rgb="FF000000"/>
      <name val="Calibri"/>
      <family val="2"/>
      <scheme val="minor"/>
    </font>
    <font>
      <b/>
      <sz val="12"/>
      <name val="Arial"/>
      <family val="2"/>
    </font>
    <font>
      <b/>
      <i/>
      <sz val="10"/>
      <color theme="0"/>
      <name val="Arial"/>
      <family val="2"/>
    </font>
    <font>
      <b/>
      <sz val="10"/>
      <color theme="0"/>
      <name val="Arial"/>
      <family val="2"/>
    </font>
    <font>
      <b/>
      <i/>
      <sz val="10"/>
      <color theme="1" tint="0.14999847407452621"/>
      <name val="Arial"/>
      <family val="2"/>
    </font>
    <font>
      <b/>
      <sz val="10"/>
      <color theme="1" tint="0.14999847407452621"/>
      <name val="Arial"/>
      <family val="2"/>
    </font>
    <font>
      <b/>
      <sz val="16"/>
      <color theme="1" tint="0.34998626667073579"/>
      <name val="Calibri"/>
      <family val="2"/>
      <scheme val="major"/>
    </font>
    <font>
      <sz val="11"/>
      <color rgb="FF000000"/>
      <name val="Calibri"/>
      <family val="2"/>
      <scheme val="minor"/>
    </font>
    <font>
      <b/>
      <i/>
      <sz val="10"/>
      <color theme="0"/>
      <name val="Arial"/>
    </font>
    <font>
      <sz val="10"/>
      <color rgb="FF000000"/>
      <name val="Arial"/>
    </font>
    <font>
      <sz val="11"/>
      <color rgb="FF000000"/>
      <name val="Calibri"/>
    </font>
    <font>
      <b/>
      <sz val="11"/>
      <color rgb="FF000000"/>
      <name val="Calibri"/>
      <scheme val="minor"/>
    </font>
    <font>
      <sz val="11"/>
      <color rgb="FF000000"/>
      <name val="Calibri"/>
      <scheme val="minor"/>
    </font>
    <font>
      <sz val="10"/>
      <color rgb="FF000000"/>
      <name val="Arial"/>
      <charset val="1"/>
    </font>
    <font>
      <sz val="11"/>
      <color rgb="FF000000"/>
      <name val="Aptos Narrow"/>
    </font>
    <font>
      <sz val="10"/>
      <color theme="0"/>
      <name val="Arial"/>
      <family val="2"/>
    </font>
    <font>
      <sz val="10"/>
      <color theme="1"/>
      <name val="Calibri"/>
      <family val="2"/>
      <scheme val="minor"/>
    </font>
    <font>
      <sz val="8"/>
      <name val="Calibri"/>
      <family val="2"/>
      <scheme val="minor"/>
    </font>
    <font>
      <sz val="11"/>
      <color theme="0" tint="-4.9989318521683403E-2"/>
      <name val="Calibri"/>
      <family val="2"/>
      <scheme val="minor"/>
    </font>
    <font>
      <b/>
      <sz val="11"/>
      <color rgb="FFFFFFFF"/>
      <name val="Calibri"/>
      <scheme val="minor"/>
    </font>
    <font>
      <b/>
      <sz val="11"/>
      <color theme="0"/>
      <name val="Arial"/>
      <family val="2"/>
    </font>
  </fonts>
  <fills count="7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F1DE"/>
        <bgColor indexed="64"/>
      </patternFill>
    </fill>
    <fill>
      <patternFill patternType="solid">
        <fgColor theme="0"/>
        <bgColor theme="0"/>
      </patternFill>
    </fill>
    <fill>
      <patternFill patternType="solid">
        <fgColor theme="0" tint="-0.249977111117893"/>
        <bgColor theme="0"/>
      </patternFill>
    </fill>
    <fill>
      <patternFill patternType="solid">
        <fgColor theme="0"/>
        <bgColor indexed="64"/>
      </patternFill>
    </fill>
    <fill>
      <patternFill patternType="solid">
        <fgColor theme="0"/>
        <bgColor rgb="FFD9E2F3"/>
      </patternFill>
    </fill>
    <fill>
      <patternFill patternType="solid">
        <fgColor theme="0" tint="-0.14999847407452621"/>
        <bgColor rgb="FF00B050"/>
      </patternFill>
    </fill>
    <fill>
      <patternFill patternType="solid">
        <fgColor rgb="FFDCE6F1"/>
        <bgColor indexed="64"/>
      </patternFill>
    </fill>
    <fill>
      <patternFill patternType="solid">
        <fgColor rgb="FFF2DCDB"/>
        <bgColor indexed="64"/>
      </patternFill>
    </fill>
    <fill>
      <patternFill patternType="solid">
        <fgColor rgb="FF00B0F0"/>
        <bgColor indexed="64"/>
      </patternFill>
    </fill>
    <fill>
      <patternFill patternType="solid">
        <fgColor rgb="FFC00000"/>
        <bgColor indexed="64"/>
      </patternFill>
    </fill>
    <fill>
      <patternFill patternType="solid">
        <fgColor rgb="FFFFFFFF"/>
        <bgColor rgb="FF000000"/>
      </patternFill>
    </fill>
    <fill>
      <patternFill patternType="solid">
        <fgColor rgb="FFFFFFFF"/>
        <bgColor rgb="FFFFFFFF"/>
      </patternFill>
    </fill>
    <fill>
      <patternFill patternType="solid">
        <fgColor rgb="FF92D05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6"/>
        <bgColor indexed="64"/>
      </patternFill>
    </fill>
    <fill>
      <patternFill patternType="solid">
        <fgColor rgb="FFC2F799"/>
        <bgColor indexed="64"/>
      </patternFill>
    </fill>
    <fill>
      <patternFill patternType="solid">
        <fgColor theme="5"/>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rgb="FF595959"/>
        <bgColor indexed="64"/>
      </patternFill>
    </fill>
    <fill>
      <patternFill patternType="solid">
        <fgColor rgb="FF538DD5"/>
        <bgColor indexed="64"/>
      </patternFill>
    </fill>
    <fill>
      <patternFill patternType="solid">
        <fgColor rgb="FFC0504D"/>
        <bgColor indexed="64"/>
      </patternFill>
    </fill>
    <fill>
      <patternFill patternType="solid">
        <fgColor rgb="FF2AA0A4"/>
        <bgColor indexed="64"/>
      </patternFill>
    </fill>
  </fills>
  <borders count="35">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top style="thin">
        <color rgb="FF000000"/>
      </top>
      <bottom style="thin">
        <color rgb="FF000000"/>
      </bottom>
      <diagonal/>
    </border>
  </borders>
  <cellStyleXfs count="5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xf numFmtId="0" fontId="38" fillId="0" borderId="0"/>
  </cellStyleXfs>
  <cellXfs count="28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9" fillId="4" borderId="2" xfId="12" applyFill="1" applyAlignment="1">
      <alignment horizontal="left" vertical="center" wrapText="1" indent="2"/>
    </xf>
    <xf numFmtId="0" fontId="9" fillId="11" borderId="2" xfId="12" applyFill="1" applyAlignment="1">
      <alignment horizontal="left" vertical="center" wrapText="1" indent="2"/>
    </xf>
    <xf numFmtId="9" fontId="5" fillId="45" borderId="2" xfId="2" applyFont="1" applyFill="1" applyBorder="1" applyAlignment="1">
      <alignment horizontal="center" vertical="center"/>
    </xf>
    <xf numFmtId="0" fontId="39" fillId="46" borderId="0" xfId="54" applyFont="1" applyFill="1"/>
    <xf numFmtId="0" fontId="39" fillId="46" borderId="0" xfId="54" applyFont="1" applyFill="1" applyAlignment="1">
      <alignment horizontal="center" vertical="center"/>
    </xf>
    <xf numFmtId="0" fontId="38" fillId="0" borderId="0" xfId="54"/>
    <xf numFmtId="0" fontId="39" fillId="46" borderId="17" xfId="54" applyFont="1" applyFill="1" applyBorder="1"/>
    <xf numFmtId="0" fontId="39" fillId="46" borderId="18" xfId="54" applyFont="1" applyFill="1" applyBorder="1"/>
    <xf numFmtId="0" fontId="39" fillId="46" borderId="18" xfId="54" applyFont="1" applyFill="1" applyBorder="1" applyAlignment="1">
      <alignment horizontal="center" vertical="center"/>
    </xf>
    <xf numFmtId="0" fontId="39" fillId="46" borderId="19" xfId="54" applyFont="1" applyFill="1" applyBorder="1"/>
    <xf numFmtId="0" fontId="39" fillId="46" borderId="20" xfId="54" applyFont="1" applyFill="1" applyBorder="1"/>
    <xf numFmtId="0" fontId="39" fillId="46" borderId="21" xfId="54" applyFont="1" applyFill="1" applyBorder="1"/>
    <xf numFmtId="0" fontId="40" fillId="46" borderId="0" xfId="54" applyFont="1" applyFill="1"/>
    <xf numFmtId="0" fontId="41" fillId="47" borderId="22" xfId="54" applyFont="1" applyFill="1" applyBorder="1" applyAlignment="1">
      <alignment horizontal="left" vertical="center"/>
    </xf>
    <xf numFmtId="0" fontId="39" fillId="49" borderId="0" xfId="54" applyFont="1" applyFill="1" applyAlignment="1">
      <alignment vertical="center" wrapText="1"/>
    </xf>
    <xf numFmtId="0" fontId="44" fillId="49" borderId="0" xfId="54" applyFont="1" applyFill="1" applyAlignment="1">
      <alignment horizontal="center" vertical="center" wrapText="1"/>
    </xf>
    <xf numFmtId="0" fontId="38" fillId="48" borderId="0" xfId="54" applyFill="1"/>
    <xf numFmtId="0" fontId="39" fillId="49" borderId="0" xfId="54" applyFont="1" applyFill="1"/>
    <xf numFmtId="0" fontId="45" fillId="50" borderId="28" xfId="54" applyFont="1" applyFill="1" applyBorder="1" applyAlignment="1">
      <alignment vertical="center" wrapText="1"/>
    </xf>
    <xf numFmtId="0" fontId="46" fillId="7" borderId="29" xfId="0" applyFont="1" applyFill="1" applyBorder="1" applyAlignment="1">
      <alignment horizontal="center" vertical="center" wrapText="1"/>
    </xf>
    <xf numFmtId="0" fontId="47" fillId="0" borderId="22" xfId="0" applyFont="1" applyBorder="1" applyAlignment="1">
      <alignment horizontal="left" vertical="center" wrapText="1"/>
    </xf>
    <xf numFmtId="0" fontId="39" fillId="46" borderId="22" xfId="54" applyFont="1" applyFill="1" applyBorder="1" applyAlignment="1">
      <alignment vertical="center" wrapText="1"/>
    </xf>
    <xf numFmtId="0" fontId="46" fillId="7" borderId="22" xfId="0" applyFont="1" applyFill="1" applyBorder="1" applyAlignment="1">
      <alignment horizontal="center" vertical="center" wrapText="1"/>
    </xf>
    <xf numFmtId="0" fontId="39" fillId="46" borderId="22" xfId="54" applyFont="1" applyFill="1" applyBorder="1" applyAlignment="1">
      <alignment horizontal="left" vertical="center" wrapText="1"/>
    </xf>
    <xf numFmtId="0" fontId="39" fillId="46" borderId="30" xfId="54" applyFont="1" applyFill="1" applyBorder="1" applyAlignment="1">
      <alignment horizontal="left" vertical="center" wrapText="1"/>
    </xf>
    <xf numFmtId="0" fontId="39" fillId="46" borderId="30" xfId="54" applyFont="1" applyFill="1" applyBorder="1" applyAlignment="1">
      <alignment vertical="center" wrapText="1"/>
    </xf>
    <xf numFmtId="0" fontId="44" fillId="46" borderId="31" xfId="54" applyFont="1" applyFill="1" applyBorder="1" applyAlignment="1">
      <alignment horizontal="center" vertical="center" wrapText="1"/>
    </xf>
    <xf numFmtId="0" fontId="39" fillId="46" borderId="0" xfId="54" applyFont="1" applyFill="1" applyAlignment="1">
      <alignment vertical="center" wrapText="1"/>
    </xf>
    <xf numFmtId="0" fontId="44" fillId="46" borderId="0" xfId="54" applyFont="1" applyFill="1" applyAlignment="1">
      <alignment horizontal="center" vertical="center" wrapText="1"/>
    </xf>
    <xf numFmtId="0" fontId="39" fillId="46" borderId="31" xfId="54" applyFont="1" applyFill="1" applyBorder="1" applyAlignment="1">
      <alignment vertical="center" wrapText="1"/>
    </xf>
    <xf numFmtId="0" fontId="41" fillId="47" borderId="0" xfId="54" applyFont="1" applyFill="1" applyAlignment="1">
      <alignment horizontal="left" vertical="center"/>
    </xf>
    <xf numFmtId="0" fontId="9" fillId="51" borderId="2" xfId="12" applyFill="1" applyAlignment="1">
      <alignment horizontal="left" vertical="center" wrapText="1" indent="2"/>
    </xf>
    <xf numFmtId="0" fontId="9" fillId="45" borderId="2" xfId="12" applyFill="1" applyAlignment="1">
      <alignment horizontal="left" vertical="center" wrapText="1" indent="2"/>
    </xf>
    <xf numFmtId="14" fontId="44" fillId="48" borderId="22" xfId="54" applyNumberFormat="1" applyFont="1" applyFill="1" applyBorder="1" applyAlignment="1">
      <alignment horizontal="center" vertical="center" wrapText="1"/>
    </xf>
    <xf numFmtId="14" fontId="44" fillId="48" borderId="31" xfId="54" applyNumberFormat="1" applyFont="1" applyFill="1" applyBorder="1" applyAlignment="1">
      <alignment horizontal="left" vertical="center" wrapText="1"/>
    </xf>
    <xf numFmtId="14" fontId="44" fillId="46" borderId="31" xfId="54" applyNumberFormat="1" applyFont="1" applyFill="1" applyBorder="1" applyAlignment="1">
      <alignment horizontal="center" vertical="center" wrapText="1"/>
    </xf>
    <xf numFmtId="14" fontId="44" fillId="48" borderId="31" xfId="54" applyNumberFormat="1" applyFont="1" applyFill="1" applyBorder="1" applyAlignment="1">
      <alignment horizontal="center" vertical="center" wrapText="1"/>
    </xf>
    <xf numFmtId="166" fontId="9" fillId="52" borderId="2" xfId="10" applyFill="1">
      <alignment horizontal="center" vertical="center"/>
    </xf>
    <xf numFmtId="0" fontId="39" fillId="46" borderId="0" xfId="54" applyFont="1" applyFill="1" applyAlignment="1">
      <alignment vertical="center"/>
    </xf>
    <xf numFmtId="0" fontId="39" fillId="46" borderId="20" xfId="54" applyFont="1" applyFill="1" applyBorder="1" applyAlignment="1">
      <alignment vertical="center"/>
    </xf>
    <xf numFmtId="0" fontId="39" fillId="46" borderId="21" xfId="54" applyFont="1" applyFill="1" applyBorder="1" applyAlignment="1">
      <alignment vertical="center"/>
    </xf>
    <xf numFmtId="0" fontId="38" fillId="0" borderId="0" xfId="54" applyAlignment="1">
      <alignment vertical="center"/>
    </xf>
    <xf numFmtId="0" fontId="52" fillId="53" borderId="0" xfId="54" applyFont="1" applyFill="1"/>
    <xf numFmtId="0" fontId="53" fillId="53" borderId="0" xfId="54" applyFont="1" applyFill="1"/>
    <xf numFmtId="0" fontId="53" fillId="53" borderId="0" xfId="54" applyFont="1" applyFill="1" applyAlignment="1">
      <alignment horizontal="center" vertical="center"/>
    </xf>
    <xf numFmtId="0" fontId="47" fillId="0" borderId="32" xfId="0" applyFont="1" applyBorder="1" applyAlignment="1">
      <alignment horizontal="left" vertical="center" wrapText="1"/>
    </xf>
    <xf numFmtId="0" fontId="39" fillId="46" borderId="25" xfId="54" applyFont="1" applyFill="1" applyBorder="1" applyAlignment="1">
      <alignment horizontal="left" vertical="center" wrapText="1"/>
    </xf>
    <xf numFmtId="0" fontId="0" fillId="11" borderId="2" xfId="12" applyFont="1" applyFill="1" applyAlignment="1">
      <alignment horizontal="left" vertical="center" wrapText="1" indent="2"/>
    </xf>
    <xf numFmtId="166" fontId="0" fillId="52" borderId="2" xfId="10" applyFont="1" applyFill="1">
      <alignment horizontal="center" vertical="center"/>
    </xf>
    <xf numFmtId="0" fontId="47" fillId="0" borderId="22" xfId="0" applyFont="1" applyBorder="1" applyAlignment="1">
      <alignment vertical="center" wrapText="1"/>
    </xf>
    <xf numFmtId="0" fontId="39" fillId="56" borderId="22" xfId="0" applyFont="1" applyFill="1" applyBorder="1" applyAlignment="1">
      <alignment vertical="center" wrapText="1"/>
    </xf>
    <xf numFmtId="0" fontId="44" fillId="0" borderId="31" xfId="0" applyFont="1" applyBorder="1" applyAlignment="1">
      <alignment wrapText="1"/>
    </xf>
    <xf numFmtId="0" fontId="39" fillId="46" borderId="25" xfId="54" applyFont="1" applyFill="1" applyBorder="1" applyAlignment="1">
      <alignment vertical="center" wrapText="1"/>
    </xf>
    <xf numFmtId="0" fontId="57" fillId="0" borderId="31" xfId="0" applyFont="1" applyBorder="1"/>
    <xf numFmtId="0" fontId="44" fillId="0" borderId="22" xfId="0" applyFont="1" applyBorder="1" applyAlignment="1">
      <alignment wrapText="1"/>
    </xf>
    <xf numFmtId="166" fontId="9" fillId="45" borderId="2" xfId="10" applyFill="1">
      <alignment horizontal="center" vertical="center"/>
    </xf>
    <xf numFmtId="14" fontId="60" fillId="48" borderId="31" xfId="54" applyNumberFormat="1" applyFont="1" applyFill="1" applyBorder="1" applyAlignment="1">
      <alignment horizontal="center" vertical="center" wrapText="1"/>
    </xf>
    <xf numFmtId="0" fontId="44" fillId="0" borderId="31" xfId="0" applyFont="1" applyBorder="1" applyAlignment="1">
      <alignment vertical="center" wrapText="1"/>
    </xf>
    <xf numFmtId="0" fontId="60" fillId="0" borderId="31" xfId="0" applyFont="1" applyBorder="1" applyAlignment="1">
      <alignment vertical="center" wrapText="1"/>
    </xf>
    <xf numFmtId="0" fontId="59" fillId="46" borderId="30" xfId="54" applyFont="1" applyFill="1" applyBorder="1" applyAlignment="1">
      <alignment vertical="center" wrapText="1"/>
    </xf>
    <xf numFmtId="0" fontId="59" fillId="46" borderId="31" xfId="54" applyFont="1" applyFill="1" applyBorder="1" applyAlignment="1">
      <alignment vertical="center" wrapText="1"/>
    </xf>
    <xf numFmtId="0" fontId="47" fillId="0" borderId="31" xfId="0" applyFont="1" applyBorder="1" applyAlignment="1">
      <alignment horizontal="left" vertical="center" wrapText="1"/>
    </xf>
    <xf numFmtId="0" fontId="63" fillId="0" borderId="31" xfId="0" applyFont="1" applyBorder="1"/>
    <xf numFmtId="0" fontId="47" fillId="0" borderId="29" xfId="0" applyFont="1" applyBorder="1" applyAlignment="1">
      <alignment horizontal="left" vertical="center" wrapText="1"/>
    </xf>
    <xf numFmtId="0" fontId="39" fillId="46" borderId="33" xfId="54" applyFont="1" applyFill="1" applyBorder="1" applyAlignment="1">
      <alignment vertical="center" wrapText="1"/>
    </xf>
    <xf numFmtId="0" fontId="39" fillId="46" borderId="28" xfId="54" applyFont="1" applyFill="1" applyBorder="1" applyAlignment="1">
      <alignment vertical="center" wrapText="1"/>
    </xf>
    <xf numFmtId="0" fontId="64" fillId="0" borderId="22" xfId="0" applyFont="1" applyBorder="1" applyAlignment="1">
      <alignment horizontal="left" vertical="center" wrapText="1"/>
    </xf>
    <xf numFmtId="0" fontId="59" fillId="46" borderId="21" xfId="54" applyFont="1" applyFill="1" applyBorder="1"/>
    <xf numFmtId="14" fontId="60" fillId="48" borderId="31" xfId="54" applyNumberFormat="1" applyFont="1" applyFill="1" applyBorder="1" applyAlignment="1">
      <alignment horizontal="left" vertical="center" wrapText="1"/>
    </xf>
    <xf numFmtId="14" fontId="60" fillId="48" borderId="22" xfId="54" applyNumberFormat="1" applyFont="1" applyFill="1" applyBorder="1" applyAlignment="1">
      <alignment horizontal="center" vertical="center" wrapText="1"/>
    </xf>
    <xf numFmtId="0" fontId="59" fillId="46" borderId="30" xfId="54" applyFont="1" applyFill="1" applyBorder="1" applyAlignment="1">
      <alignment horizontal="left" vertical="center" wrapText="1"/>
    </xf>
    <xf numFmtId="0" fontId="59" fillId="46" borderId="25" xfId="54" applyFont="1" applyFill="1" applyBorder="1" applyAlignment="1">
      <alignment horizontal="left" vertical="center" wrapText="1"/>
    </xf>
    <xf numFmtId="0" fontId="59" fillId="49" borderId="0" xfId="54" applyFont="1" applyFill="1" applyAlignment="1">
      <alignment vertical="center" wrapText="1"/>
    </xf>
    <xf numFmtId="0" fontId="59" fillId="46" borderId="20" xfId="54" applyFont="1" applyFill="1" applyBorder="1"/>
    <xf numFmtId="0" fontId="59" fillId="46" borderId="0" xfId="54" applyFont="1" applyFill="1"/>
    <xf numFmtId="0" fontId="59" fillId="46" borderId="34" xfId="54" applyFont="1" applyFill="1" applyBorder="1" applyAlignment="1">
      <alignment horizontal="left" vertical="center" wrapText="1"/>
    </xf>
    <xf numFmtId="0" fontId="57" fillId="0" borderId="31" xfId="0" applyFont="1" applyBorder="1" applyAlignment="1">
      <alignment vertical="center" wrapText="1"/>
    </xf>
    <xf numFmtId="0" fontId="0" fillId="0" borderId="31" xfId="0" applyBorder="1" applyAlignment="1">
      <alignment vertical="center" wrapText="1"/>
    </xf>
    <xf numFmtId="0" fontId="54" fillId="57" borderId="0" xfId="54" applyFont="1" applyFill="1"/>
    <xf numFmtId="0" fontId="55" fillId="57" borderId="0" xfId="54" applyFont="1" applyFill="1"/>
    <xf numFmtId="0" fontId="55" fillId="57" borderId="0" xfId="54" applyFont="1" applyFill="1" applyAlignment="1">
      <alignment horizontal="center" vertical="center"/>
    </xf>
    <xf numFmtId="0" fontId="0" fillId="0" borderId="0" xfId="0" applyAlignment="1">
      <alignment vertical="center" wrapText="1"/>
    </xf>
    <xf numFmtId="14" fontId="0" fillId="0" borderId="0" xfId="0" applyNumberFormat="1" applyAlignment="1">
      <alignment vertical="center" wrapText="1"/>
    </xf>
    <xf numFmtId="0" fontId="6" fillId="0" borderId="0" xfId="0" applyFont="1" applyAlignment="1">
      <alignment horizontal="center" vertical="center"/>
    </xf>
    <xf numFmtId="1" fontId="0" fillId="0" borderId="0" xfId="0" applyNumberFormat="1" applyAlignment="1">
      <alignment horizontal="center" vertical="center" wrapText="1"/>
    </xf>
    <xf numFmtId="14" fontId="6" fillId="0" borderId="0" xfId="0" applyNumberFormat="1" applyFont="1" applyAlignment="1">
      <alignment horizontal="center" vertical="center"/>
    </xf>
    <xf numFmtId="14" fontId="0" fillId="0" borderId="0" xfId="0" applyNumberFormat="1"/>
    <xf numFmtId="1" fontId="6" fillId="0" borderId="0" xfId="0" applyNumberFormat="1" applyFont="1" applyAlignment="1">
      <alignment horizontal="center" vertical="center"/>
    </xf>
    <xf numFmtId="1" fontId="0" fillId="0" borderId="0" xfId="0" applyNumberFormat="1"/>
    <xf numFmtId="0" fontId="34" fillId="0" borderId="0" xfId="0" applyFont="1"/>
    <xf numFmtId="0" fontId="22" fillId="0" borderId="0" xfId="0" applyFont="1"/>
    <xf numFmtId="0" fontId="65" fillId="0" borderId="0" xfId="1" applyFont="1" applyProtection="1">
      <alignment vertical="top"/>
    </xf>
    <xf numFmtId="0" fontId="9" fillId="59" borderId="2" xfId="12" applyFill="1" applyAlignment="1">
      <alignment horizontal="left" vertical="center" wrapText="1" indent="2"/>
    </xf>
    <xf numFmtId="9" fontId="5" fillId="59" borderId="2" xfId="2" applyFont="1" applyFill="1" applyBorder="1" applyAlignment="1">
      <alignment horizontal="center" vertical="center"/>
    </xf>
    <xf numFmtId="166" fontId="9" fillId="59" borderId="2" xfId="10" applyFill="1">
      <alignment horizontal="center" vertical="center"/>
    </xf>
    <xf numFmtId="0" fontId="9" fillId="61" borderId="2" xfId="12" applyFill="1" applyAlignment="1">
      <alignment horizontal="left" vertical="center" wrapText="1" indent="2"/>
    </xf>
    <xf numFmtId="9" fontId="5" fillId="61" borderId="2" xfId="2" applyFont="1" applyFill="1" applyBorder="1" applyAlignment="1">
      <alignment horizontal="center" vertical="center"/>
    </xf>
    <xf numFmtId="166" fontId="9" fillId="61" borderId="2" xfId="10" applyFill="1">
      <alignment horizontal="center" vertical="center"/>
    </xf>
    <xf numFmtId="0" fontId="9" fillId="6" borderId="2" xfId="12" applyFill="1" applyAlignment="1">
      <alignment horizontal="left" vertical="center" wrapText="1" indent="2"/>
    </xf>
    <xf numFmtId="166" fontId="9" fillId="6" borderId="2" xfId="10" applyFill="1">
      <alignment horizontal="center" vertical="center"/>
    </xf>
    <xf numFmtId="0" fontId="9" fillId="63" borderId="2" xfId="12" applyFill="1" applyAlignment="1">
      <alignment horizontal="left" vertical="center" wrapText="1" indent="2"/>
    </xf>
    <xf numFmtId="9" fontId="5" fillId="63" borderId="2" xfId="2" applyFont="1" applyFill="1" applyBorder="1" applyAlignment="1">
      <alignment horizontal="center" vertical="center"/>
    </xf>
    <xf numFmtId="166" fontId="9" fillId="63" borderId="2" xfId="10" applyFill="1">
      <alignment horizontal="center" vertical="center"/>
    </xf>
    <xf numFmtId="0" fontId="9" fillId="65" borderId="2" xfId="12" applyFill="1" applyAlignment="1">
      <alignment horizontal="left" vertical="center" wrapText="1" indent="2"/>
    </xf>
    <xf numFmtId="9" fontId="5" fillId="65" borderId="2" xfId="2" applyFont="1" applyFill="1" applyBorder="1" applyAlignment="1">
      <alignment horizontal="center" vertical="center"/>
    </xf>
    <xf numFmtId="166" fontId="9" fillId="65" borderId="2" xfId="10" applyFill="1">
      <alignment horizontal="center" vertical="center"/>
    </xf>
    <xf numFmtId="0" fontId="9" fillId="9" borderId="2" xfId="12" applyFill="1" applyAlignment="1">
      <alignment horizontal="left" vertical="center" wrapText="1" indent="2"/>
    </xf>
    <xf numFmtId="0" fontId="0" fillId="9" borderId="2" xfId="12" applyFont="1" applyFill="1" applyAlignment="1">
      <alignment horizontal="left" vertical="center" wrapText="1" indent="2"/>
    </xf>
    <xf numFmtId="166" fontId="9" fillId="9" borderId="2" xfId="10" applyFill="1">
      <alignment horizontal="center" vertical="center"/>
    </xf>
    <xf numFmtId="169" fontId="67" fillId="7" borderId="6" xfId="0" applyNumberFormat="1" applyFont="1" applyFill="1" applyBorder="1" applyAlignment="1">
      <alignment horizontal="center" vertical="center"/>
    </xf>
    <xf numFmtId="169" fontId="67" fillId="7" borderId="0" xfId="0" applyNumberFormat="1" applyFont="1" applyFill="1" applyAlignment="1">
      <alignment horizontal="center" vertical="center"/>
    </xf>
    <xf numFmtId="169" fontId="67" fillId="7" borderId="7" xfId="0" applyNumberFormat="1" applyFont="1" applyFill="1" applyBorder="1" applyAlignment="1">
      <alignment horizontal="center" vertical="center"/>
    </xf>
    <xf numFmtId="0" fontId="68" fillId="0" borderId="3" xfId="0" applyFont="1" applyBorder="1" applyAlignment="1">
      <alignment horizontal="center" vertical="center"/>
    </xf>
    <xf numFmtId="0" fontId="37" fillId="67" borderId="1" xfId="0" applyFont="1" applyFill="1" applyBorder="1" applyAlignment="1">
      <alignment horizontal="left" vertical="center" wrapText="1" indent="1"/>
    </xf>
    <xf numFmtId="0" fontId="0" fillId="0" borderId="0" xfId="0" applyAlignment="1">
      <alignment horizontal="center" vertical="center"/>
    </xf>
    <xf numFmtId="1" fontId="0" fillId="0" borderId="0" xfId="0" applyNumberFormat="1" applyAlignment="1">
      <alignment horizontal="center" vertical="center"/>
    </xf>
    <xf numFmtId="0" fontId="43" fillId="53" borderId="26" xfId="54" applyFont="1" applyFill="1" applyBorder="1" applyAlignment="1">
      <alignment horizontal="center" vertical="center" wrapText="1"/>
    </xf>
    <xf numFmtId="0" fontId="43" fillId="53" borderId="22" xfId="54" applyFont="1" applyFill="1" applyBorder="1" applyAlignment="1">
      <alignment horizontal="center" vertical="center" wrapText="1"/>
    </xf>
    <xf numFmtId="0" fontId="43" fillId="57" borderId="26" xfId="54" applyFont="1" applyFill="1" applyBorder="1" applyAlignment="1">
      <alignment horizontal="center" vertical="center" wrapText="1"/>
    </xf>
    <xf numFmtId="0" fontId="43" fillId="57" borderId="22" xfId="54" applyFont="1" applyFill="1" applyBorder="1" applyAlignment="1">
      <alignment horizontal="center" vertical="center" wrapText="1"/>
    </xf>
    <xf numFmtId="0" fontId="70" fillId="54" borderId="26" xfId="54" applyFont="1" applyFill="1" applyBorder="1" applyAlignment="1">
      <alignment horizontal="center" vertical="center" wrapText="1"/>
    </xf>
    <xf numFmtId="0" fontId="70" fillId="54" borderId="22" xfId="54" applyFont="1" applyFill="1" applyBorder="1" applyAlignment="1">
      <alignment horizontal="center" vertical="center" wrapText="1"/>
    </xf>
    <xf numFmtId="0" fontId="57" fillId="0" borderId="31" xfId="0" applyFont="1" applyBorder="1" applyAlignment="1">
      <alignment vertical="center"/>
    </xf>
    <xf numFmtId="0" fontId="44" fillId="0" borderId="22" xfId="0" applyFont="1" applyBorder="1" applyAlignment="1">
      <alignment vertical="center" wrapText="1"/>
    </xf>
    <xf numFmtId="0" fontId="43" fillId="48" borderId="24" xfId="54" applyFont="1" applyFill="1" applyBorder="1" applyAlignment="1">
      <alignment horizontal="left" vertical="center" wrapText="1"/>
    </xf>
    <xf numFmtId="0" fontId="43" fillId="48" borderId="25" xfId="54" applyFont="1" applyFill="1" applyBorder="1" applyAlignment="1">
      <alignment horizontal="left" vertical="center" wrapText="1"/>
    </xf>
    <xf numFmtId="0" fontId="46" fillId="48" borderId="23" xfId="0" applyFont="1" applyFill="1" applyBorder="1" applyAlignment="1">
      <alignment horizontal="left" vertical="center" wrapText="1"/>
    </xf>
    <xf numFmtId="0" fontId="6" fillId="48" borderId="24" xfId="0" applyFont="1" applyFill="1" applyBorder="1" applyAlignment="1">
      <alignment horizontal="left" vertical="center" wrapText="1"/>
    </xf>
    <xf numFmtId="0" fontId="6" fillId="48" borderId="25" xfId="0" applyFont="1" applyFill="1" applyBorder="1" applyAlignment="1">
      <alignment horizontal="left" vertical="center" wrapText="1"/>
    </xf>
    <xf numFmtId="0" fontId="42" fillId="46" borderId="23" xfId="54" applyFont="1" applyFill="1" applyBorder="1" applyAlignment="1">
      <alignment horizontal="left" vertical="top" wrapText="1"/>
    </xf>
    <xf numFmtId="0" fontId="42" fillId="46" borderId="24" xfId="54" applyFont="1" applyFill="1" applyBorder="1" applyAlignment="1">
      <alignment horizontal="left" vertical="top" wrapText="1"/>
    </xf>
    <xf numFmtId="0" fontId="42" fillId="46" borderId="25" xfId="54" applyFont="1" applyFill="1" applyBorder="1" applyAlignment="1">
      <alignment horizontal="left" vertical="top" wrapText="1"/>
    </xf>
    <xf numFmtId="0" fontId="41" fillId="46" borderId="0" xfId="54" applyFont="1" applyFill="1" applyAlignment="1">
      <alignment horizontal="left"/>
    </xf>
    <xf numFmtId="0" fontId="39" fillId="46" borderId="23" xfId="54" quotePrefix="1" applyFont="1" applyFill="1" applyBorder="1" applyAlignment="1">
      <alignment horizontal="left" vertical="top" wrapText="1"/>
    </xf>
    <xf numFmtId="0" fontId="39" fillId="46" borderId="24" xfId="54" applyFont="1" applyFill="1" applyBorder="1" applyAlignment="1">
      <alignment horizontal="left" vertical="top"/>
    </xf>
    <xf numFmtId="0" fontId="39" fillId="46" borderId="25" xfId="54" applyFont="1" applyFill="1" applyBorder="1" applyAlignment="1">
      <alignment horizontal="left" vertical="top"/>
    </xf>
    <xf numFmtId="0" fontId="43" fillId="48" borderId="27" xfId="54" applyFont="1" applyFill="1" applyBorder="1" applyAlignment="1">
      <alignment horizontal="left" vertical="center" wrapText="1"/>
    </xf>
    <xf numFmtId="0" fontId="6" fillId="48" borderId="23" xfId="0" applyFont="1" applyFill="1" applyBorder="1" applyAlignment="1">
      <alignment horizontal="left" vertical="center" wrapText="1"/>
    </xf>
    <xf numFmtId="0" fontId="39" fillId="46" borderId="23" xfId="54" applyFont="1" applyFill="1" applyBorder="1" applyAlignment="1">
      <alignment horizontal="left" vertical="center" wrapText="1" indent="1"/>
    </xf>
    <xf numFmtId="0" fontId="39" fillId="46" borderId="24" xfId="54" applyFont="1" applyFill="1" applyBorder="1" applyAlignment="1">
      <alignment horizontal="left" vertical="center" wrapText="1" indent="1"/>
    </xf>
    <xf numFmtId="0" fontId="39" fillId="46" borderId="25" xfId="54" applyFont="1" applyFill="1" applyBorder="1" applyAlignment="1">
      <alignment horizontal="left" vertical="center" wrapText="1" indent="1"/>
    </xf>
    <xf numFmtId="0" fontId="42" fillId="46" borderId="23" xfId="54" applyFont="1" applyFill="1" applyBorder="1" applyAlignment="1">
      <alignment horizontal="left" vertical="center" wrapText="1"/>
    </xf>
    <xf numFmtId="0" fontId="42" fillId="46" borderId="24" xfId="54" applyFont="1" applyFill="1" applyBorder="1" applyAlignment="1">
      <alignment horizontal="left" vertical="center" wrapText="1"/>
    </xf>
    <xf numFmtId="0" fontId="42" fillId="46" borderId="25" xfId="54" applyFont="1" applyFill="1" applyBorder="1" applyAlignment="1">
      <alignment horizontal="left" vertical="center" wrapText="1"/>
    </xf>
    <xf numFmtId="0" fontId="39" fillId="46" borderId="23" xfId="54" quotePrefix="1" applyFont="1" applyFill="1" applyBorder="1" applyAlignment="1">
      <alignment horizontal="left" vertical="center" wrapText="1"/>
    </xf>
    <xf numFmtId="0" fontId="39" fillId="46" borderId="24" xfId="54" applyFont="1" applyFill="1" applyBorder="1" applyAlignment="1">
      <alignment horizontal="left" vertical="center"/>
    </xf>
    <xf numFmtId="0" fontId="39" fillId="46" borderId="25" xfId="54" applyFont="1" applyFill="1" applyBorder="1" applyAlignment="1">
      <alignment horizontal="left" vertical="center"/>
    </xf>
    <xf numFmtId="0" fontId="57" fillId="48" borderId="23" xfId="0" applyFont="1" applyFill="1" applyBorder="1" applyAlignment="1">
      <alignment horizontal="left" vertical="center" wrapText="1"/>
    </xf>
    <xf numFmtId="0" fontId="0" fillId="48" borderId="24" xfId="0" applyFill="1" applyBorder="1" applyAlignment="1">
      <alignment horizontal="left" vertical="center" wrapText="1"/>
    </xf>
    <xf numFmtId="0" fontId="0" fillId="48" borderId="25" xfId="0" applyFill="1" applyBorder="1" applyAlignment="1">
      <alignment horizontal="left" vertical="center" wrapText="1"/>
    </xf>
    <xf numFmtId="0" fontId="58" fillId="54" borderId="0" xfId="54" applyFont="1" applyFill="1" applyAlignment="1">
      <alignment horizontal="left" vertical="center" wrapText="1"/>
    </xf>
    <xf numFmtId="0" fontId="43" fillId="55" borderId="23" xfId="0" applyFont="1" applyFill="1" applyBorder="1" applyAlignment="1">
      <alignment horizontal="left" vertical="center" wrapText="1"/>
    </xf>
    <xf numFmtId="0" fontId="43" fillId="55" borderId="25" xfId="0" applyFont="1" applyFill="1" applyBorder="1" applyAlignment="1">
      <alignment horizontal="left" vertical="center" wrapText="1"/>
    </xf>
    <xf numFmtId="0" fontId="46" fillId="55" borderId="23" xfId="0" applyFont="1" applyFill="1" applyBorder="1" applyAlignment="1">
      <alignment horizontal="left" vertical="center" wrapText="1"/>
    </xf>
    <xf numFmtId="0" fontId="46" fillId="55" borderId="24" xfId="0" applyFont="1" applyFill="1" applyBorder="1" applyAlignment="1">
      <alignment horizontal="left" vertical="center" wrapText="1"/>
    </xf>
    <xf numFmtId="0" fontId="48" fillId="46" borderId="0" xfId="54" applyFont="1" applyFill="1" applyAlignment="1">
      <alignment horizontal="center" vertical="center"/>
    </xf>
    <xf numFmtId="0" fontId="51" fillId="0" borderId="0" xfId="54" applyFont="1" applyAlignment="1">
      <alignment horizontal="center" vertical="center"/>
    </xf>
    <xf numFmtId="0" fontId="59" fillId="46" borderId="23" xfId="54" applyFont="1" applyFill="1" applyBorder="1" applyAlignment="1">
      <alignment horizontal="left" vertical="center" wrapText="1" indent="1"/>
    </xf>
    <xf numFmtId="0" fontId="39" fillId="46" borderId="0" xfId="54" applyFont="1" applyFill="1" applyAlignment="1">
      <alignment horizontal="left"/>
    </xf>
    <xf numFmtId="0" fontId="43" fillId="55" borderId="27" xfId="0" applyFont="1" applyFill="1" applyBorder="1" applyAlignment="1">
      <alignment horizontal="left" vertical="center" wrapText="1"/>
    </xf>
    <xf numFmtId="0" fontId="69" fillId="68" borderId="0" xfId="0" applyFont="1" applyFill="1" applyAlignment="1">
      <alignment horizontal="center" vertical="center"/>
    </xf>
    <xf numFmtId="0" fontId="0" fillId="68" borderId="0" xfId="0" applyFill="1" applyAlignment="1">
      <alignment horizontal="center" vertical="center"/>
    </xf>
    <xf numFmtId="0" fontId="69" fillId="70" borderId="0" xfId="0" applyFont="1" applyFill="1" applyAlignment="1">
      <alignment horizontal="center" vertical="center"/>
    </xf>
    <xf numFmtId="0" fontId="0" fillId="70" borderId="0" xfId="0" applyFill="1" applyAlignment="1">
      <alignment horizontal="center" vertical="center"/>
    </xf>
    <xf numFmtId="0" fontId="69" fillId="69" borderId="0" xfId="0" applyFont="1" applyFill="1" applyAlignment="1">
      <alignment horizontal="center" vertical="center"/>
    </xf>
    <xf numFmtId="0" fontId="62" fillId="0" borderId="0" xfId="0" applyFont="1" applyAlignment="1">
      <alignment horizontal="center" vertical="center"/>
    </xf>
    <xf numFmtId="0" fontId="0" fillId="0" borderId="0" xfId="0" applyAlignment="1">
      <alignment horizontal="center" vertical="center"/>
    </xf>
    <xf numFmtId="168" fontId="66" fillId="7" borderId="4" xfId="0" applyNumberFormat="1" applyFont="1" applyFill="1" applyBorder="1" applyAlignment="1">
      <alignment horizontal="center" vertical="center" wrapText="1" indent="1"/>
    </xf>
    <xf numFmtId="168" fontId="66" fillId="7" borderId="1" xfId="0" applyNumberFormat="1" applyFont="1" applyFill="1" applyBorder="1" applyAlignment="1">
      <alignment horizontal="center" vertical="center" wrapText="1" indent="1"/>
    </xf>
    <xf numFmtId="168" fontId="66" fillId="7" borderId="5" xfId="0" applyNumberFormat="1" applyFont="1" applyFill="1" applyBorder="1" applyAlignment="1">
      <alignment horizontal="center" vertical="center" wrapText="1" indent="1"/>
    </xf>
    <xf numFmtId="0" fontId="56" fillId="0" borderId="0" xfId="5" applyFont="1" applyAlignment="1">
      <alignment horizontal="left" vertical="center" wrapText="1"/>
    </xf>
    <xf numFmtId="0" fontId="6" fillId="8" borderId="2" xfId="0" applyFont="1" applyFill="1" applyBorder="1" applyAlignment="1">
      <alignment horizontal="left" vertical="center" indent="1"/>
    </xf>
    <xf numFmtId="0" fontId="6" fillId="58" borderId="2" xfId="0" applyFont="1" applyFill="1" applyBorder="1" applyAlignment="1">
      <alignment horizontal="left" vertical="center" indent="1"/>
    </xf>
    <xf numFmtId="0" fontId="6" fillId="64" borderId="2" xfId="0" applyFont="1" applyFill="1" applyBorder="1" applyAlignment="1">
      <alignment horizontal="left" vertical="center" indent="1"/>
    </xf>
    <xf numFmtId="0" fontId="6" fillId="9" borderId="2" xfId="0" applyFont="1" applyFill="1" applyBorder="1" applyAlignment="1">
      <alignment horizontal="left" vertical="center" indent="1"/>
    </xf>
    <xf numFmtId="0" fontId="6" fillId="65" borderId="2" xfId="0" applyFont="1" applyFill="1" applyBorder="1" applyAlignment="1">
      <alignment horizontal="left" vertical="center" indent="1"/>
    </xf>
    <xf numFmtId="0" fontId="6" fillId="60" borderId="2" xfId="0" applyFont="1" applyFill="1" applyBorder="1" applyAlignment="1">
      <alignment horizontal="left" vertical="center" indent="1"/>
    </xf>
    <xf numFmtId="0" fontId="6" fillId="62" borderId="2" xfId="0" applyFont="1" applyFill="1" applyBorder="1" applyAlignment="1">
      <alignment horizontal="left" vertical="center" indent="1"/>
    </xf>
    <xf numFmtId="0" fontId="6" fillId="57" borderId="2" xfId="0" applyFont="1" applyFill="1" applyBorder="1" applyAlignment="1">
      <alignment horizontal="left" vertical="center" indent="1"/>
    </xf>
    <xf numFmtId="0" fontId="6" fillId="6" borderId="2" xfId="0" applyFont="1" applyFill="1" applyBorder="1" applyAlignment="1">
      <alignment horizontal="left" vertical="center" inden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0" fontId="13" fillId="0" borderId="0" xfId="5" applyAlignment="1">
      <alignment horizontal="left" wrapText="1"/>
    </xf>
    <xf numFmtId="0" fontId="49" fillId="0" borderId="0" xfId="54" applyFont="1" applyAlignment="1"/>
    <xf numFmtId="0" fontId="50" fillId="0" borderId="0" xfId="54" applyFont="1" applyAlignment="1"/>
    <xf numFmtId="0" fontId="9" fillId="0" borderId="0" xfId="8" applyAlignment="1">
      <alignment horizontal="right" indent="1"/>
    </xf>
    <xf numFmtId="0" fontId="9" fillId="0" borderId="7" xfId="8" applyBorder="1" applyAlignment="1">
      <alignment horizontal="right" indent="1"/>
    </xf>
    <xf numFmtId="167" fontId="22" fillId="66" borderId="3" xfId="9" applyFont="1" applyFill="1" applyAlignment="1">
      <alignment horizontal="center" vertical="center"/>
    </xf>
    <xf numFmtId="0" fontId="68" fillId="0" borderId="0" xfId="8" applyFont="1" applyAlignment="1">
      <alignment horizontal="right" indent="1"/>
    </xf>
    <xf numFmtId="0" fontId="68" fillId="0" borderId="7" xfId="8" applyFont="1" applyBorder="1" applyAlignment="1">
      <alignment horizontal="right" indent="1"/>
    </xf>
    <xf numFmtId="167" fontId="9" fillId="0" borderId="3" xfId="9" applyAlignment="1">
      <alignment horizontal="center" vertical="center"/>
    </xf>
  </cellXfs>
  <cellStyles count="55">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rmal 2" xfId="54" xr:uid="{539B9233-3D35-45DE-8F47-E12208E91409}"/>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0000"/>
      <color rgb="FF92D050"/>
      <color rgb="FF2AA0A4"/>
      <color rgb="FFC0504D"/>
      <color rgb="FF538DD5"/>
      <color rgb="FF595959"/>
      <color rgb="FFC2F799"/>
      <color rgb="FFEBF1DE"/>
      <color rgb="FFF2DCDB"/>
      <color rgb="FF2158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'Base Plano'!$E$1</c:f>
              <c:strCache>
                <c:ptCount val="1"/>
                <c:pt idx="0">
                  <c:v>Início</c:v>
                </c:pt>
              </c:strCache>
            </c:strRef>
          </c:tx>
          <c:spPr>
            <a:noFill/>
            <a:ln>
              <a:noFill/>
            </a:ln>
            <a:effectLst/>
          </c:spPr>
          <c:invertIfNegative val="0"/>
          <c:cat>
            <c:strRef>
              <c:f>'Base Plano'!C2:C75</c:f>
              <c:strCache>
                <c:ptCount val="73"/>
                <c:pt idx="0">
                  <c:v>Criar rotina regional de formação</c:v>
                </c:pt>
                <c:pt idx="1">
                  <c:v>Definir escopo do grupo (responsabilidades, atribuições, frequência das reuniões, governança)</c:v>
                </c:pt>
                <c:pt idx="2">
                  <c:v>Indicar representantes</c:v>
                </c:pt>
                <c:pt idx="3">
                  <c:v>Avaliar dados do Valorizagtes-sus</c:v>
                </c:pt>
                <c:pt idx="4">
                  <c:v>Avaliar diagnóstico de demanda por formações do Valoriza SUS</c:v>
                </c:pt>
                <c:pt idx="5">
                  <c:v>Avaliar a inclusão da temática de Saúde Digital no Valoriza SUS</c:v>
                </c:pt>
                <c:pt idx="6">
                  <c:v>Definir agendas seguras para realização das teleconsultorias</c:v>
                </c:pt>
                <c:pt idx="7">
                  <c:v>Criar repositório permanente de casos e estudos</c:v>
                </c:pt>
                <c:pt idx="8">
                  <c:v>Estruturar grupo de estudo sobre telessaúde (implementação, operação, inovação... ) </c:v>
                </c:pt>
                <c:pt idx="9">
                  <c:v>Definir representantes municipais para atuar na condução conjunta da Telessaúde na microrregião</c:v>
                </c:pt>
                <c:pt idx="10">
                  <c:v>Instituir instância de governança microrregional (escopo de atuação, atribuições, regularidade dos encontros etc)</c:v>
                </c:pt>
                <c:pt idx="11">
                  <c:v>Instituir governança local de dados</c:v>
                </c:pt>
                <c:pt idx="12">
                  <c:v>Definir fluxos de decisão e escalonamento</c:v>
                </c:pt>
                <c:pt idx="13">
                  <c:v>Estabelecer fluxo de comunicação com a regional e o estado</c:v>
                </c:pt>
                <c:pt idx="14">
                  <c:v>Definir instância mínima de decisão (ponto focal ou comitê)</c:v>
                </c:pt>
                <c:pt idx="15">
                  <c:v>Designar responsáveis formais pela governança dos dados</c:v>
                </c:pt>
                <c:pt idx="16">
                  <c:v>Definir regras de acesso e segurança da informação</c:v>
                </c:pt>
                <c:pt idx="17">
                  <c:v>Alinhar regras à LGPD e às diretrizes estaduais</c:v>
                </c:pt>
                <c:pt idx="18">
                  <c:v>Definir escopo claro do que será integrado em cada fase</c:v>
                </c:pt>
                <c:pt idx="19">
                  <c:v>Priorizar padrões conforme sistemas críticos mapeados</c:v>
                </c:pt>
                <c:pt idx="20">
                  <c:v>Priorizar padrões compatíveis com sistemas já existentes</c:v>
                </c:pt>
                <c:pt idx="21">
                  <c:v>Estabelecer padrões mínimos de troca de dados</c:v>
                </c:pt>
                <c:pt idx="22">
                  <c:v>Definir padrões básicos de interoperabilidade conforme orientação estadual</c:v>
                </c:pt>
                <c:pt idx="23">
                  <c:v>Nomear grupo de trabalho da micro</c:v>
                </c:pt>
                <c:pt idx="24">
                  <c:v>Mapear os sistemas de informação em uso no município (ex: sistemas assistenciais, administrativos, regulatórios e de vigilância)</c:v>
                </c:pt>
                <c:pt idx="25">
                  <c:v>Classificar os sistemas por criticidade e função</c:v>
                </c:pt>
                <c:pt idx="26">
                  <c:v>Identificar sistemas essenciais para continuidade do cuidado</c:v>
                </c:pt>
                <c:pt idx="27">
                  <c:v>Diferenciar sistemas estruturantes de sistemas acessórios</c:v>
                </c:pt>
                <c:pt idx="28">
                  <c:v>Elaborar campanha de sensibilização</c:v>
                </c:pt>
                <c:pt idx="29">
                  <c:v>Definir percentual mínimo de membros das equipes habilitados</c:v>
                </c:pt>
                <c:pt idx="30">
                  <c:v>Formalizar equipe Intersetorial na CIB microrregional</c:v>
                </c:pt>
                <c:pt idx="31">
                  <c:v>Capacitar equipe intersetorial</c:v>
                </c:pt>
                <c:pt idx="32">
                  <c:v>Identificar necessidades locais e planejar ações.</c:v>
                </c:pt>
                <c:pt idx="33">
                  <c:v>Definir portfólio de cursos (fixos e sazionais)</c:v>
                </c:pt>
                <c:pt idx="34">
                  <c:v>Solicitar treinamentos conforme necessidades.</c:v>
                </c:pt>
                <c:pt idx="35">
                  <c:v>Desenvolver protocolos e indicadores.</c:v>
                </c:pt>
                <c:pt idx="36">
                  <c:v>Elaborar modelo  avaliação das formações</c:v>
                </c:pt>
                <c:pt idx="37">
                  <c:v>Realizar campanha de sensibilização e mobilização para formações</c:v>
                </c:pt>
                <c:pt idx="38">
                  <c:v>Preparar material de formação</c:v>
                </c:pt>
                <c:pt idx="39">
                  <c:v>Criar formação básica em telessaúde</c:v>
                </c:pt>
                <c:pt idx="40">
                  <c:v>Elaborar fluxos para utilização da teleconsultoria</c:v>
                </c:pt>
                <c:pt idx="41">
                  <c:v>Definir parâmetros mínimos de utilização</c:v>
                </c:pt>
                <c:pt idx="42">
                  <c:v>Definir indicadores de sucesso</c:v>
                </c:pt>
                <c:pt idx="43">
                  <c:v>Elaborar a estratégia microrregional alinhada com as diretrizes estaduais</c:v>
                </c:pt>
                <c:pt idx="44">
                  <c:v>Apresentar informações sobre a situação de uso da teleconsultoria na microrregião</c:v>
                </c:pt>
                <c:pt idx="45">
                  <c:v>Fazer diagnóstico técnico da infraestrutura</c:v>
                </c:pt>
                <c:pt idx="46">
                  <c:v>Levantar gargalos técnicos referentes à implantação</c:v>
                </c:pt>
                <c:pt idx="47">
                  <c:v>Levantar as necessidades assistenciais relacionadas à Telessaúde</c:v>
                </c:pt>
                <c:pt idx="48">
                  <c:v>Identificar a disponibilidade orçamentária para uso da Telessaúde</c:v>
                </c:pt>
                <c:pt idx="49">
                  <c:v>Definir público estratégico para capacitação</c:v>
                </c:pt>
                <c:pt idx="50">
                  <c:v>Definir instrumentos e periodicidade de capacitação</c:v>
                </c:pt>
                <c:pt idx="51">
                  <c:v>Estabelecer formatos adequados (oficinas, apoio técnico, materiais)</c:v>
                </c:pt>
                <c:pt idx="52">
                  <c:v>Instituir rotinas de uso da informação</c:v>
                </c:pt>
                <c:pt idx="53">
                  <c:v>Realizar formações priorizadas</c:v>
                </c:pt>
                <c:pt idx="54">
                  <c:v>Capacitar para uso da informação na gestão</c:v>
                </c:pt>
                <c:pt idx="55">
                  <c:v>Capacitar para uso qualificado dos sistemas integrados</c:v>
                </c:pt>
                <c:pt idx="56">
                  <c:v>Treinar com base nos sistemas efetivamente priorizados</c:v>
                </c:pt>
                <c:pt idx="57">
                  <c:v>Realizar formação das equipes indicadas</c:v>
                </c:pt>
                <c:pt idx="58">
                  <c:v>Executar avaliação trimestral</c:v>
                </c:pt>
                <c:pt idx="59">
                  <c:v>Elaborar plano de ação para superação dos obstáculos identificados</c:v>
                </c:pt>
                <c:pt idx="60">
                  <c:v>Identificar lacunas e necessidades relacionadas à integração</c:v>
                </c:pt>
                <c:pt idx="61">
                  <c:v>Identificar retrabalho, duplicidade de registro e perda de informação</c:v>
                </c:pt>
                <c:pt idx="62">
                  <c:v>Mapear fluxos de dados e uso da informação</c:v>
                </c:pt>
                <c:pt idx="63">
                  <c:v>Identificar quem produz, quem consome e para qual finalidade</c:v>
                </c:pt>
                <c:pt idx="64">
                  <c:v>Verificar aderência aos fluxos estaduais e nacionais (ex: RNDS)</c:v>
                </c:pt>
                <c:pt idx="65">
                  <c:v>Aplicar avaliação</c:v>
                </c:pt>
                <c:pt idx="66">
                  <c:v>Definir uma rede de apoio pós-treinamentos.</c:v>
                </c:pt>
                <c:pt idx="67">
                  <c:v>Criar a rede de profissionais habilitados em telessaúde</c:v>
                </c:pt>
                <c:pt idx="68">
                  <c:v>Criar momentos formais de análise de dados</c:v>
                </c:pt>
                <c:pt idx="69">
                  <c:v>Criar cultura de uso contínuo da informação para tomada de decisões </c:v>
                </c:pt>
                <c:pt idx="70">
                  <c:v>Apresentar resultados das qualificações - CIB Micro</c:v>
                </c:pt>
                <c:pt idx="71">
                  <c:v>Consolidar diagnóstico para apoio à decisão - síntese com sistemas prioritários para integração</c:v>
                </c:pt>
                <c:pt idx="72">
                  <c:v>Apontar riscos e oportunidades para a gestão regional e estadual</c:v>
                </c:pt>
              </c:strCache>
            </c:strRef>
          </c:cat>
          <c:val>
            <c:numRef>
              <c:f>'Base Plano'!$E$2:$E$75</c:f>
              <c:numCache>
                <c:formatCode>m/d/yyyy</c:formatCode>
                <c:ptCount val="74"/>
                <c:pt idx="0">
                  <c:v>46054</c:v>
                </c:pt>
                <c:pt idx="1">
                  <c:v>46055</c:v>
                </c:pt>
                <c:pt idx="2">
                  <c:v>46055</c:v>
                </c:pt>
                <c:pt idx="3">
                  <c:v>46055</c:v>
                </c:pt>
                <c:pt idx="4">
                  <c:v>46055</c:v>
                </c:pt>
                <c:pt idx="5">
                  <c:v>46055</c:v>
                </c:pt>
                <c:pt idx="6">
                  <c:v>46055</c:v>
                </c:pt>
                <c:pt idx="7">
                  <c:v>46055</c:v>
                </c:pt>
                <c:pt idx="8">
                  <c:v>46055</c:v>
                </c:pt>
                <c:pt idx="9">
                  <c:v>46055</c:v>
                </c:pt>
                <c:pt idx="10">
                  <c:v>46055</c:v>
                </c:pt>
                <c:pt idx="11">
                  <c:v>46055</c:v>
                </c:pt>
                <c:pt idx="12">
                  <c:v>46055</c:v>
                </c:pt>
                <c:pt idx="13">
                  <c:v>46055</c:v>
                </c:pt>
                <c:pt idx="14">
                  <c:v>46055</c:v>
                </c:pt>
                <c:pt idx="15">
                  <c:v>46055</c:v>
                </c:pt>
                <c:pt idx="16">
                  <c:v>46055</c:v>
                </c:pt>
                <c:pt idx="17">
                  <c:v>46055</c:v>
                </c:pt>
                <c:pt idx="18">
                  <c:v>46055</c:v>
                </c:pt>
                <c:pt idx="19">
                  <c:v>46055</c:v>
                </c:pt>
                <c:pt idx="20">
                  <c:v>46055</c:v>
                </c:pt>
                <c:pt idx="21">
                  <c:v>46055</c:v>
                </c:pt>
                <c:pt idx="22">
                  <c:v>46055</c:v>
                </c:pt>
                <c:pt idx="23">
                  <c:v>46055</c:v>
                </c:pt>
                <c:pt idx="24">
                  <c:v>46055</c:v>
                </c:pt>
                <c:pt idx="25">
                  <c:v>46055</c:v>
                </c:pt>
                <c:pt idx="26">
                  <c:v>46055</c:v>
                </c:pt>
                <c:pt idx="27">
                  <c:v>46055</c:v>
                </c:pt>
                <c:pt idx="28">
                  <c:v>46082</c:v>
                </c:pt>
                <c:pt idx="29">
                  <c:v>46082</c:v>
                </c:pt>
                <c:pt idx="30">
                  <c:v>46083</c:v>
                </c:pt>
                <c:pt idx="31">
                  <c:v>46083</c:v>
                </c:pt>
                <c:pt idx="32">
                  <c:v>46113</c:v>
                </c:pt>
                <c:pt idx="33">
                  <c:v>46113</c:v>
                </c:pt>
                <c:pt idx="34">
                  <c:v>46113</c:v>
                </c:pt>
                <c:pt idx="35">
                  <c:v>46113</c:v>
                </c:pt>
                <c:pt idx="36">
                  <c:v>46113</c:v>
                </c:pt>
                <c:pt idx="37">
                  <c:v>46113</c:v>
                </c:pt>
                <c:pt idx="38">
                  <c:v>46113</c:v>
                </c:pt>
                <c:pt idx="39">
                  <c:v>46113</c:v>
                </c:pt>
                <c:pt idx="40">
                  <c:v>46113</c:v>
                </c:pt>
                <c:pt idx="41">
                  <c:v>46113</c:v>
                </c:pt>
                <c:pt idx="42">
                  <c:v>46113</c:v>
                </c:pt>
                <c:pt idx="43">
                  <c:v>46113</c:v>
                </c:pt>
                <c:pt idx="44">
                  <c:v>46113</c:v>
                </c:pt>
                <c:pt idx="45">
                  <c:v>46113</c:v>
                </c:pt>
                <c:pt idx="46">
                  <c:v>46113</c:v>
                </c:pt>
                <c:pt idx="47">
                  <c:v>46113</c:v>
                </c:pt>
                <c:pt idx="48">
                  <c:v>46113</c:v>
                </c:pt>
                <c:pt idx="49">
                  <c:v>46113</c:v>
                </c:pt>
                <c:pt idx="50">
                  <c:v>46113</c:v>
                </c:pt>
                <c:pt idx="51">
                  <c:v>46113</c:v>
                </c:pt>
                <c:pt idx="52">
                  <c:v>46113</c:v>
                </c:pt>
                <c:pt idx="53">
                  <c:v>46143</c:v>
                </c:pt>
                <c:pt idx="54">
                  <c:v>46143</c:v>
                </c:pt>
                <c:pt idx="55">
                  <c:v>46143</c:v>
                </c:pt>
                <c:pt idx="56">
                  <c:v>46143</c:v>
                </c:pt>
                <c:pt idx="57">
                  <c:v>46204</c:v>
                </c:pt>
                <c:pt idx="58">
                  <c:v>46204</c:v>
                </c:pt>
                <c:pt idx="59">
                  <c:v>46204</c:v>
                </c:pt>
                <c:pt idx="60">
                  <c:v>46204</c:v>
                </c:pt>
                <c:pt idx="61">
                  <c:v>46204</c:v>
                </c:pt>
                <c:pt idx="62">
                  <c:v>46204</c:v>
                </c:pt>
                <c:pt idx="63">
                  <c:v>46204</c:v>
                </c:pt>
                <c:pt idx="64">
                  <c:v>46204</c:v>
                </c:pt>
                <c:pt idx="65">
                  <c:v>46235</c:v>
                </c:pt>
                <c:pt idx="66">
                  <c:v>46235</c:v>
                </c:pt>
                <c:pt idx="67">
                  <c:v>46235</c:v>
                </c:pt>
                <c:pt idx="68">
                  <c:v>46235</c:v>
                </c:pt>
                <c:pt idx="69">
                  <c:v>46266</c:v>
                </c:pt>
                <c:pt idx="70">
                  <c:v>46327</c:v>
                </c:pt>
                <c:pt idx="71">
                  <c:v>46327</c:v>
                </c:pt>
                <c:pt idx="72">
                  <c:v>46327</c:v>
                </c:pt>
              </c:numCache>
            </c:numRef>
          </c:val>
          <c:extLst>
            <c:ext xmlns:c16="http://schemas.microsoft.com/office/drawing/2014/chart" uri="{C3380CC4-5D6E-409C-BE32-E72D297353CC}">
              <c16:uniqueId val="{00000000-1757-4096-9925-52337F4F8E67}"/>
            </c:ext>
          </c:extLst>
        </c:ser>
        <c:ser>
          <c:idx val="1"/>
          <c:order val="1"/>
          <c:tx>
            <c:strRef>
              <c:f>'Base Plano'!$H$1</c:f>
              <c:strCache>
                <c:ptCount val="1"/>
                <c:pt idx="0">
                  <c:v>Eixo 2</c:v>
                </c:pt>
              </c:strCache>
            </c:strRef>
          </c:tx>
          <c:spPr>
            <a:solidFill>
              <a:srgbClr val="538DD5"/>
            </a:solidFill>
            <a:ln>
              <a:noFill/>
            </a:ln>
            <a:effectLst/>
          </c:spPr>
          <c:invertIfNegative val="0"/>
          <c:cat>
            <c:strRef>
              <c:f>'Base Plano'!C2:C75</c:f>
              <c:strCache>
                <c:ptCount val="73"/>
                <c:pt idx="0">
                  <c:v>Criar rotina regional de formação</c:v>
                </c:pt>
                <c:pt idx="1">
                  <c:v>Definir escopo do grupo (responsabilidades, atribuições, frequência das reuniões, governança)</c:v>
                </c:pt>
                <c:pt idx="2">
                  <c:v>Indicar representantes</c:v>
                </c:pt>
                <c:pt idx="3">
                  <c:v>Avaliar dados do Valorizagtes-sus</c:v>
                </c:pt>
                <c:pt idx="4">
                  <c:v>Avaliar diagnóstico de demanda por formações do Valoriza SUS</c:v>
                </c:pt>
                <c:pt idx="5">
                  <c:v>Avaliar a inclusão da temática de Saúde Digital no Valoriza SUS</c:v>
                </c:pt>
                <c:pt idx="6">
                  <c:v>Definir agendas seguras para realização das teleconsultorias</c:v>
                </c:pt>
                <c:pt idx="7">
                  <c:v>Criar repositório permanente de casos e estudos</c:v>
                </c:pt>
                <c:pt idx="8">
                  <c:v>Estruturar grupo de estudo sobre telessaúde (implementação, operação, inovação... ) </c:v>
                </c:pt>
                <c:pt idx="9">
                  <c:v>Definir representantes municipais para atuar na condução conjunta da Telessaúde na microrregião</c:v>
                </c:pt>
                <c:pt idx="10">
                  <c:v>Instituir instância de governança microrregional (escopo de atuação, atribuições, regularidade dos encontros etc)</c:v>
                </c:pt>
                <c:pt idx="11">
                  <c:v>Instituir governança local de dados</c:v>
                </c:pt>
                <c:pt idx="12">
                  <c:v>Definir fluxos de decisão e escalonamento</c:v>
                </c:pt>
                <c:pt idx="13">
                  <c:v>Estabelecer fluxo de comunicação com a regional e o estado</c:v>
                </c:pt>
                <c:pt idx="14">
                  <c:v>Definir instância mínima de decisão (ponto focal ou comitê)</c:v>
                </c:pt>
                <c:pt idx="15">
                  <c:v>Designar responsáveis formais pela governança dos dados</c:v>
                </c:pt>
                <c:pt idx="16">
                  <c:v>Definir regras de acesso e segurança da informação</c:v>
                </c:pt>
                <c:pt idx="17">
                  <c:v>Alinhar regras à LGPD e às diretrizes estaduais</c:v>
                </c:pt>
                <c:pt idx="18">
                  <c:v>Definir escopo claro do que será integrado em cada fase</c:v>
                </c:pt>
                <c:pt idx="19">
                  <c:v>Priorizar padrões conforme sistemas críticos mapeados</c:v>
                </c:pt>
                <c:pt idx="20">
                  <c:v>Priorizar padrões compatíveis com sistemas já existentes</c:v>
                </c:pt>
                <c:pt idx="21">
                  <c:v>Estabelecer padrões mínimos de troca de dados</c:v>
                </c:pt>
                <c:pt idx="22">
                  <c:v>Definir padrões básicos de interoperabilidade conforme orientação estadual</c:v>
                </c:pt>
                <c:pt idx="23">
                  <c:v>Nomear grupo de trabalho da micro</c:v>
                </c:pt>
                <c:pt idx="24">
                  <c:v>Mapear os sistemas de informação em uso no município (ex: sistemas assistenciais, administrativos, regulatórios e de vigilância)</c:v>
                </c:pt>
                <c:pt idx="25">
                  <c:v>Classificar os sistemas por criticidade e função</c:v>
                </c:pt>
                <c:pt idx="26">
                  <c:v>Identificar sistemas essenciais para continuidade do cuidado</c:v>
                </c:pt>
                <c:pt idx="27">
                  <c:v>Diferenciar sistemas estruturantes de sistemas acessórios</c:v>
                </c:pt>
                <c:pt idx="28">
                  <c:v>Elaborar campanha de sensibilização</c:v>
                </c:pt>
                <c:pt idx="29">
                  <c:v>Definir percentual mínimo de membros das equipes habilitados</c:v>
                </c:pt>
                <c:pt idx="30">
                  <c:v>Formalizar equipe Intersetorial na CIB microrregional</c:v>
                </c:pt>
                <c:pt idx="31">
                  <c:v>Capacitar equipe intersetorial</c:v>
                </c:pt>
                <c:pt idx="32">
                  <c:v>Identificar necessidades locais e planejar ações.</c:v>
                </c:pt>
                <c:pt idx="33">
                  <c:v>Definir portfólio de cursos (fixos e sazionais)</c:v>
                </c:pt>
                <c:pt idx="34">
                  <c:v>Solicitar treinamentos conforme necessidades.</c:v>
                </c:pt>
                <c:pt idx="35">
                  <c:v>Desenvolver protocolos e indicadores.</c:v>
                </c:pt>
                <c:pt idx="36">
                  <c:v>Elaborar modelo  avaliação das formações</c:v>
                </c:pt>
                <c:pt idx="37">
                  <c:v>Realizar campanha de sensibilização e mobilização para formações</c:v>
                </c:pt>
                <c:pt idx="38">
                  <c:v>Preparar material de formação</c:v>
                </c:pt>
                <c:pt idx="39">
                  <c:v>Criar formação básica em telessaúde</c:v>
                </c:pt>
                <c:pt idx="40">
                  <c:v>Elaborar fluxos para utilização da teleconsultoria</c:v>
                </c:pt>
                <c:pt idx="41">
                  <c:v>Definir parâmetros mínimos de utilização</c:v>
                </c:pt>
                <c:pt idx="42">
                  <c:v>Definir indicadores de sucesso</c:v>
                </c:pt>
                <c:pt idx="43">
                  <c:v>Elaborar a estratégia microrregional alinhada com as diretrizes estaduais</c:v>
                </c:pt>
                <c:pt idx="44">
                  <c:v>Apresentar informações sobre a situação de uso da teleconsultoria na microrregião</c:v>
                </c:pt>
                <c:pt idx="45">
                  <c:v>Fazer diagnóstico técnico da infraestrutura</c:v>
                </c:pt>
                <c:pt idx="46">
                  <c:v>Levantar gargalos técnicos referentes à implantação</c:v>
                </c:pt>
                <c:pt idx="47">
                  <c:v>Levantar as necessidades assistenciais relacionadas à Telessaúde</c:v>
                </c:pt>
                <c:pt idx="48">
                  <c:v>Identificar a disponibilidade orçamentária para uso da Telessaúde</c:v>
                </c:pt>
                <c:pt idx="49">
                  <c:v>Definir público estratégico para capacitação</c:v>
                </c:pt>
                <c:pt idx="50">
                  <c:v>Definir instrumentos e periodicidade de capacitação</c:v>
                </c:pt>
                <c:pt idx="51">
                  <c:v>Estabelecer formatos adequados (oficinas, apoio técnico, materiais)</c:v>
                </c:pt>
                <c:pt idx="52">
                  <c:v>Instituir rotinas de uso da informação</c:v>
                </c:pt>
                <c:pt idx="53">
                  <c:v>Realizar formações priorizadas</c:v>
                </c:pt>
                <c:pt idx="54">
                  <c:v>Capacitar para uso da informação na gestão</c:v>
                </c:pt>
                <c:pt idx="55">
                  <c:v>Capacitar para uso qualificado dos sistemas integrados</c:v>
                </c:pt>
                <c:pt idx="56">
                  <c:v>Treinar com base nos sistemas efetivamente priorizados</c:v>
                </c:pt>
                <c:pt idx="57">
                  <c:v>Realizar formação das equipes indicadas</c:v>
                </c:pt>
                <c:pt idx="58">
                  <c:v>Executar avaliação trimestral</c:v>
                </c:pt>
                <c:pt idx="59">
                  <c:v>Elaborar plano de ação para superação dos obstáculos identificados</c:v>
                </c:pt>
                <c:pt idx="60">
                  <c:v>Identificar lacunas e necessidades relacionadas à integração</c:v>
                </c:pt>
                <c:pt idx="61">
                  <c:v>Identificar retrabalho, duplicidade de registro e perda de informação</c:v>
                </c:pt>
                <c:pt idx="62">
                  <c:v>Mapear fluxos de dados e uso da informação</c:v>
                </c:pt>
                <c:pt idx="63">
                  <c:v>Identificar quem produz, quem consome e para qual finalidade</c:v>
                </c:pt>
                <c:pt idx="64">
                  <c:v>Verificar aderência aos fluxos estaduais e nacionais (ex: RNDS)</c:v>
                </c:pt>
                <c:pt idx="65">
                  <c:v>Aplicar avaliação</c:v>
                </c:pt>
                <c:pt idx="66">
                  <c:v>Definir uma rede de apoio pós-treinamentos.</c:v>
                </c:pt>
                <c:pt idx="67">
                  <c:v>Criar a rede de profissionais habilitados em telessaúde</c:v>
                </c:pt>
                <c:pt idx="68">
                  <c:v>Criar momentos formais de análise de dados</c:v>
                </c:pt>
                <c:pt idx="69">
                  <c:v>Criar cultura de uso contínuo da informação para tomada de decisões </c:v>
                </c:pt>
                <c:pt idx="70">
                  <c:v>Apresentar resultados das qualificações - CIB Micro</c:v>
                </c:pt>
                <c:pt idx="71">
                  <c:v>Consolidar diagnóstico para apoio à decisão - síntese com sistemas prioritários para integração</c:v>
                </c:pt>
                <c:pt idx="72">
                  <c:v>Apontar riscos e oportunidades para a gestão regional e estadual</c:v>
                </c:pt>
              </c:strCache>
            </c:strRef>
          </c:cat>
          <c:val>
            <c:numRef>
              <c:f>'Base Plano'!$H$2:$H$75</c:f>
              <c:numCache>
                <c:formatCode>0</c:formatCode>
                <c:ptCount val="74"/>
                <c:pt idx="0">
                  <c:v>88</c:v>
                </c:pt>
                <c:pt idx="1">
                  <c:v>25</c:v>
                </c:pt>
                <c:pt idx="2">
                  <c:v>25</c:v>
                </c:pt>
                <c:pt idx="3">
                  <c:v>87</c:v>
                </c:pt>
                <c:pt idx="4">
                  <c:v>87</c:v>
                </c:pt>
                <c:pt idx="5">
                  <c:v>87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29</c:v>
                </c:pt>
                <c:pt idx="31">
                  <c:v>59</c:v>
                </c:pt>
                <c:pt idx="32">
                  <c:v>60</c:v>
                </c:pt>
                <c:pt idx="33">
                  <c:v>90</c:v>
                </c:pt>
                <c:pt idx="34">
                  <c:v>274</c:v>
                </c:pt>
                <c:pt idx="35">
                  <c:v>60</c:v>
                </c:pt>
                <c:pt idx="36">
                  <c:v>60</c:v>
                </c:pt>
                <c:pt idx="37">
                  <c:v>60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91</c:v>
                </c:pt>
                <c:pt idx="54">
                  <c:v>0</c:v>
                </c:pt>
                <c:pt idx="55">
                  <c:v>0</c:v>
                </c:pt>
                <c:pt idx="56">
                  <c:v>0</c:v>
                </c:pt>
                <c:pt idx="57">
                  <c:v>0</c:v>
                </c:pt>
                <c:pt idx="58">
                  <c:v>0</c:v>
                </c:pt>
                <c:pt idx="59">
                  <c:v>0</c:v>
                </c:pt>
                <c:pt idx="60">
                  <c:v>0</c:v>
                </c:pt>
                <c:pt idx="61">
                  <c:v>0</c:v>
                </c:pt>
                <c:pt idx="62">
                  <c:v>0</c:v>
                </c:pt>
                <c:pt idx="63">
                  <c:v>0</c:v>
                </c:pt>
                <c:pt idx="64">
                  <c:v>0</c:v>
                </c:pt>
                <c:pt idx="65">
                  <c:v>30</c:v>
                </c:pt>
                <c:pt idx="66">
                  <c:v>90</c:v>
                </c:pt>
                <c:pt idx="67">
                  <c:v>0</c:v>
                </c:pt>
                <c:pt idx="68">
                  <c:v>0</c:v>
                </c:pt>
                <c:pt idx="69">
                  <c:v>0</c:v>
                </c:pt>
                <c:pt idx="70">
                  <c:v>29</c:v>
                </c:pt>
                <c:pt idx="71">
                  <c:v>0</c:v>
                </c:pt>
                <c:pt idx="72">
                  <c:v>0</c:v>
                </c:pt>
              </c:numCache>
            </c:numRef>
          </c:val>
          <c:extLst>
            <c:ext xmlns:c16="http://schemas.microsoft.com/office/drawing/2014/chart" uri="{C3380CC4-5D6E-409C-BE32-E72D297353CC}">
              <c16:uniqueId val="{00000001-1757-4096-9925-52337F4F8E67}"/>
            </c:ext>
          </c:extLst>
        </c:ser>
        <c:ser>
          <c:idx val="2"/>
          <c:order val="2"/>
          <c:tx>
            <c:strRef>
              <c:f>'Base Plano'!$I$1</c:f>
              <c:strCache>
                <c:ptCount val="1"/>
                <c:pt idx="0">
                  <c:v>Eixo 4</c:v>
                </c:pt>
              </c:strCache>
            </c:strRef>
          </c:tx>
          <c:spPr>
            <a:solidFill>
              <a:srgbClr val="2AA0A4"/>
            </a:solidFill>
            <a:ln>
              <a:noFill/>
            </a:ln>
            <a:effectLst/>
          </c:spPr>
          <c:invertIfNegative val="0"/>
          <c:cat>
            <c:strRef>
              <c:f>'Base Plano'!C2:C75</c:f>
              <c:strCache>
                <c:ptCount val="73"/>
                <c:pt idx="0">
                  <c:v>Criar rotina regional de formação</c:v>
                </c:pt>
                <c:pt idx="1">
                  <c:v>Definir escopo do grupo (responsabilidades, atribuições, frequência das reuniões, governança)</c:v>
                </c:pt>
                <c:pt idx="2">
                  <c:v>Indicar representantes</c:v>
                </c:pt>
                <c:pt idx="3">
                  <c:v>Avaliar dados do Valorizagtes-sus</c:v>
                </c:pt>
                <c:pt idx="4">
                  <c:v>Avaliar diagnóstico de demanda por formações do Valoriza SUS</c:v>
                </c:pt>
                <c:pt idx="5">
                  <c:v>Avaliar a inclusão da temática de Saúde Digital no Valoriza SUS</c:v>
                </c:pt>
                <c:pt idx="6">
                  <c:v>Definir agendas seguras para realização das teleconsultorias</c:v>
                </c:pt>
                <c:pt idx="7">
                  <c:v>Criar repositório permanente de casos e estudos</c:v>
                </c:pt>
                <c:pt idx="8">
                  <c:v>Estruturar grupo de estudo sobre telessaúde (implementação, operação, inovação... ) </c:v>
                </c:pt>
                <c:pt idx="9">
                  <c:v>Definir representantes municipais para atuar na condução conjunta da Telessaúde na microrregião</c:v>
                </c:pt>
                <c:pt idx="10">
                  <c:v>Instituir instância de governança microrregional (escopo de atuação, atribuições, regularidade dos encontros etc)</c:v>
                </c:pt>
                <c:pt idx="11">
                  <c:v>Instituir governança local de dados</c:v>
                </c:pt>
                <c:pt idx="12">
                  <c:v>Definir fluxos de decisão e escalonamento</c:v>
                </c:pt>
                <c:pt idx="13">
                  <c:v>Estabelecer fluxo de comunicação com a regional e o estado</c:v>
                </c:pt>
                <c:pt idx="14">
                  <c:v>Definir instância mínima de decisão (ponto focal ou comitê)</c:v>
                </c:pt>
                <c:pt idx="15">
                  <c:v>Designar responsáveis formais pela governança dos dados</c:v>
                </c:pt>
                <c:pt idx="16">
                  <c:v>Definir regras de acesso e segurança da informação</c:v>
                </c:pt>
                <c:pt idx="17">
                  <c:v>Alinhar regras à LGPD e às diretrizes estaduais</c:v>
                </c:pt>
                <c:pt idx="18">
                  <c:v>Definir escopo claro do que será integrado em cada fase</c:v>
                </c:pt>
                <c:pt idx="19">
                  <c:v>Priorizar padrões conforme sistemas críticos mapeados</c:v>
                </c:pt>
                <c:pt idx="20">
                  <c:v>Priorizar padrões compatíveis com sistemas já existentes</c:v>
                </c:pt>
                <c:pt idx="21">
                  <c:v>Estabelecer padrões mínimos de troca de dados</c:v>
                </c:pt>
                <c:pt idx="22">
                  <c:v>Definir padrões básicos de interoperabilidade conforme orientação estadual</c:v>
                </c:pt>
                <c:pt idx="23">
                  <c:v>Nomear grupo de trabalho da micro</c:v>
                </c:pt>
                <c:pt idx="24">
                  <c:v>Mapear os sistemas de informação em uso no município (ex: sistemas assistenciais, administrativos, regulatórios e de vigilância)</c:v>
                </c:pt>
                <c:pt idx="25">
                  <c:v>Classificar os sistemas por criticidade e função</c:v>
                </c:pt>
                <c:pt idx="26">
                  <c:v>Identificar sistemas essenciais para continuidade do cuidado</c:v>
                </c:pt>
                <c:pt idx="27">
                  <c:v>Diferenciar sistemas estruturantes de sistemas acessórios</c:v>
                </c:pt>
                <c:pt idx="28">
                  <c:v>Elaborar campanha de sensibilização</c:v>
                </c:pt>
                <c:pt idx="29">
                  <c:v>Definir percentual mínimo de membros das equipes habilitados</c:v>
                </c:pt>
                <c:pt idx="30">
                  <c:v>Formalizar equipe Intersetorial na CIB microrregional</c:v>
                </c:pt>
                <c:pt idx="31">
                  <c:v>Capacitar equipe intersetorial</c:v>
                </c:pt>
                <c:pt idx="32">
                  <c:v>Identificar necessidades locais e planejar ações.</c:v>
                </c:pt>
                <c:pt idx="33">
                  <c:v>Definir portfólio de cursos (fixos e sazionais)</c:v>
                </c:pt>
                <c:pt idx="34">
                  <c:v>Solicitar treinamentos conforme necessidades.</c:v>
                </c:pt>
                <c:pt idx="35">
                  <c:v>Desenvolver protocolos e indicadores.</c:v>
                </c:pt>
                <c:pt idx="36">
                  <c:v>Elaborar modelo  avaliação das formações</c:v>
                </c:pt>
                <c:pt idx="37">
                  <c:v>Realizar campanha de sensibilização e mobilização para formações</c:v>
                </c:pt>
                <c:pt idx="38">
                  <c:v>Preparar material de formação</c:v>
                </c:pt>
                <c:pt idx="39">
                  <c:v>Criar formação básica em telessaúde</c:v>
                </c:pt>
                <c:pt idx="40">
                  <c:v>Elaborar fluxos para utilização da teleconsultoria</c:v>
                </c:pt>
                <c:pt idx="41">
                  <c:v>Definir parâmetros mínimos de utilização</c:v>
                </c:pt>
                <c:pt idx="42">
                  <c:v>Definir indicadores de sucesso</c:v>
                </c:pt>
                <c:pt idx="43">
                  <c:v>Elaborar a estratégia microrregional alinhada com as diretrizes estaduais</c:v>
                </c:pt>
                <c:pt idx="44">
                  <c:v>Apresentar informações sobre a situação de uso da teleconsultoria na microrregião</c:v>
                </c:pt>
                <c:pt idx="45">
                  <c:v>Fazer diagnóstico técnico da infraestrutura</c:v>
                </c:pt>
                <c:pt idx="46">
                  <c:v>Levantar gargalos técnicos referentes à implantação</c:v>
                </c:pt>
                <c:pt idx="47">
                  <c:v>Levantar as necessidades assistenciais relacionadas à Telessaúde</c:v>
                </c:pt>
                <c:pt idx="48">
                  <c:v>Identificar a disponibilidade orçamentária para uso da Telessaúde</c:v>
                </c:pt>
                <c:pt idx="49">
                  <c:v>Definir público estratégico para capacitação</c:v>
                </c:pt>
                <c:pt idx="50">
                  <c:v>Definir instrumentos e periodicidade de capacitação</c:v>
                </c:pt>
                <c:pt idx="51">
                  <c:v>Estabelecer formatos adequados (oficinas, apoio técnico, materiais)</c:v>
                </c:pt>
                <c:pt idx="52">
                  <c:v>Instituir rotinas de uso da informação</c:v>
                </c:pt>
                <c:pt idx="53">
                  <c:v>Realizar formações priorizadas</c:v>
                </c:pt>
                <c:pt idx="54">
                  <c:v>Capacitar para uso da informação na gestão</c:v>
                </c:pt>
                <c:pt idx="55">
                  <c:v>Capacitar para uso qualificado dos sistemas integrados</c:v>
                </c:pt>
                <c:pt idx="56">
                  <c:v>Treinar com base nos sistemas efetivamente priorizados</c:v>
                </c:pt>
                <c:pt idx="57">
                  <c:v>Realizar formação das equipes indicadas</c:v>
                </c:pt>
                <c:pt idx="58">
                  <c:v>Executar avaliação trimestral</c:v>
                </c:pt>
                <c:pt idx="59">
                  <c:v>Elaborar plano de ação para superação dos obstáculos identificados</c:v>
                </c:pt>
                <c:pt idx="60">
                  <c:v>Identificar lacunas e necessidades relacionadas à integração</c:v>
                </c:pt>
                <c:pt idx="61">
                  <c:v>Identificar retrabalho, duplicidade de registro e perda de informação</c:v>
                </c:pt>
                <c:pt idx="62">
                  <c:v>Mapear fluxos de dados e uso da informação</c:v>
                </c:pt>
                <c:pt idx="63">
                  <c:v>Identificar quem produz, quem consome e para qual finalidade</c:v>
                </c:pt>
                <c:pt idx="64">
                  <c:v>Verificar aderência aos fluxos estaduais e nacionais (ex: RNDS)</c:v>
                </c:pt>
                <c:pt idx="65">
                  <c:v>Aplicar avaliação</c:v>
                </c:pt>
                <c:pt idx="66">
                  <c:v>Definir uma rede de apoio pós-treinamentos.</c:v>
                </c:pt>
                <c:pt idx="67">
                  <c:v>Criar a rede de profissionais habilitados em telessaúde</c:v>
                </c:pt>
                <c:pt idx="68">
                  <c:v>Criar momentos formais de análise de dados</c:v>
                </c:pt>
                <c:pt idx="69">
                  <c:v>Criar cultura de uso contínuo da informação para tomada de decisões </c:v>
                </c:pt>
                <c:pt idx="70">
                  <c:v>Apresentar resultados das qualificações - CIB Micro</c:v>
                </c:pt>
                <c:pt idx="71">
                  <c:v>Consolidar diagnóstico para apoio à decisão - síntese com sistemas prioritários para integração</c:v>
                </c:pt>
                <c:pt idx="72">
                  <c:v>Apontar riscos e oportunidades para a gestão regional e estadual</c:v>
                </c:pt>
              </c:strCache>
            </c:strRef>
          </c:cat>
          <c:val>
            <c:numRef>
              <c:f>'Base Plano'!$I$2:$I$75</c:f>
              <c:numCache>
                <c:formatCode>0</c:formatCode>
                <c:ptCount val="74"/>
                <c:pt idx="0">
                  <c:v>0</c:v>
                </c:pt>
                <c:pt idx="1">
                  <c:v>0</c:v>
                </c:pt>
                <c:pt idx="2">
                  <c:v>0</c:v>
                </c:pt>
                <c:pt idx="3">
                  <c:v>0</c:v>
                </c:pt>
                <c:pt idx="4">
                  <c:v>0</c:v>
                </c:pt>
                <c:pt idx="5">
                  <c:v>0</c:v>
                </c:pt>
                <c:pt idx="6">
                  <c:v>57</c:v>
                </c:pt>
                <c:pt idx="7">
                  <c:v>57</c:v>
                </c:pt>
                <c:pt idx="8">
                  <c:v>57</c:v>
                </c:pt>
                <c:pt idx="9">
                  <c:v>25</c:v>
                </c:pt>
                <c:pt idx="10">
                  <c:v>57</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60</c:v>
                </c:pt>
                <c:pt idx="29">
                  <c:v>60</c:v>
                </c:pt>
                <c:pt idx="30">
                  <c:v>0</c:v>
                </c:pt>
                <c:pt idx="31">
                  <c:v>0</c:v>
                </c:pt>
                <c:pt idx="32">
                  <c:v>0</c:v>
                </c:pt>
                <c:pt idx="33">
                  <c:v>0</c:v>
                </c:pt>
                <c:pt idx="34">
                  <c:v>0</c:v>
                </c:pt>
                <c:pt idx="35">
                  <c:v>0</c:v>
                </c:pt>
                <c:pt idx="36">
                  <c:v>0</c:v>
                </c:pt>
                <c:pt idx="37">
                  <c:v>0</c:v>
                </c:pt>
                <c:pt idx="38">
                  <c:v>121</c:v>
                </c:pt>
                <c:pt idx="39">
                  <c:v>121</c:v>
                </c:pt>
                <c:pt idx="40">
                  <c:v>60</c:v>
                </c:pt>
                <c:pt idx="41">
                  <c:v>60</c:v>
                </c:pt>
                <c:pt idx="42">
                  <c:v>60</c:v>
                </c:pt>
                <c:pt idx="43">
                  <c:v>121</c:v>
                </c:pt>
                <c:pt idx="44">
                  <c:v>29</c:v>
                </c:pt>
                <c:pt idx="45">
                  <c:v>121</c:v>
                </c:pt>
                <c:pt idx="46">
                  <c:v>121</c:v>
                </c:pt>
                <c:pt idx="47">
                  <c:v>121</c:v>
                </c:pt>
                <c:pt idx="48">
                  <c:v>121</c:v>
                </c:pt>
                <c:pt idx="49">
                  <c:v>0</c:v>
                </c:pt>
                <c:pt idx="50">
                  <c:v>0</c:v>
                </c:pt>
                <c:pt idx="51">
                  <c:v>0</c:v>
                </c:pt>
                <c:pt idx="52">
                  <c:v>0</c:v>
                </c:pt>
                <c:pt idx="53">
                  <c:v>0</c:v>
                </c:pt>
                <c:pt idx="54">
                  <c:v>0</c:v>
                </c:pt>
                <c:pt idx="55">
                  <c:v>0</c:v>
                </c:pt>
                <c:pt idx="56">
                  <c:v>0</c:v>
                </c:pt>
                <c:pt idx="57">
                  <c:v>91</c:v>
                </c:pt>
                <c:pt idx="58">
                  <c:v>30</c:v>
                </c:pt>
                <c:pt idx="59">
                  <c:v>61</c:v>
                </c:pt>
                <c:pt idx="60">
                  <c:v>0</c:v>
                </c:pt>
                <c:pt idx="61">
                  <c:v>0</c:v>
                </c:pt>
                <c:pt idx="62">
                  <c:v>0</c:v>
                </c:pt>
                <c:pt idx="63">
                  <c:v>0</c:v>
                </c:pt>
                <c:pt idx="64">
                  <c:v>0</c:v>
                </c:pt>
                <c:pt idx="65">
                  <c:v>0</c:v>
                </c:pt>
                <c:pt idx="66">
                  <c:v>0</c:v>
                </c:pt>
                <c:pt idx="67">
                  <c:v>91</c:v>
                </c:pt>
                <c:pt idx="68">
                  <c:v>0</c:v>
                </c:pt>
                <c:pt idx="69">
                  <c:v>0</c:v>
                </c:pt>
                <c:pt idx="70">
                  <c:v>0</c:v>
                </c:pt>
                <c:pt idx="71">
                  <c:v>0</c:v>
                </c:pt>
                <c:pt idx="72">
                  <c:v>0</c:v>
                </c:pt>
              </c:numCache>
            </c:numRef>
          </c:val>
          <c:extLst>
            <c:ext xmlns:c16="http://schemas.microsoft.com/office/drawing/2014/chart" uri="{C3380CC4-5D6E-409C-BE32-E72D297353CC}">
              <c16:uniqueId val="{00000002-1757-4096-9925-52337F4F8E67}"/>
            </c:ext>
          </c:extLst>
        </c:ser>
        <c:ser>
          <c:idx val="3"/>
          <c:order val="3"/>
          <c:tx>
            <c:strRef>
              <c:f>'Base Plano'!$J$1</c:f>
              <c:strCache>
                <c:ptCount val="1"/>
                <c:pt idx="0">
                  <c:v>Eixo 6</c:v>
                </c:pt>
              </c:strCache>
            </c:strRef>
          </c:tx>
          <c:spPr>
            <a:solidFill>
              <a:srgbClr val="C0504D"/>
            </a:solidFill>
            <a:ln>
              <a:noFill/>
            </a:ln>
            <a:effectLst/>
          </c:spPr>
          <c:invertIfNegative val="0"/>
          <c:cat>
            <c:strRef>
              <c:f>'Base Plano'!C2:C75</c:f>
              <c:strCache>
                <c:ptCount val="73"/>
                <c:pt idx="0">
                  <c:v>Criar rotina regional de formação</c:v>
                </c:pt>
                <c:pt idx="1">
                  <c:v>Definir escopo do grupo (responsabilidades, atribuições, frequência das reuniões, governança)</c:v>
                </c:pt>
                <c:pt idx="2">
                  <c:v>Indicar representantes</c:v>
                </c:pt>
                <c:pt idx="3">
                  <c:v>Avaliar dados do Valorizagtes-sus</c:v>
                </c:pt>
                <c:pt idx="4">
                  <c:v>Avaliar diagnóstico de demanda por formações do Valoriza SUS</c:v>
                </c:pt>
                <c:pt idx="5">
                  <c:v>Avaliar a inclusão da temática de Saúde Digital no Valoriza SUS</c:v>
                </c:pt>
                <c:pt idx="6">
                  <c:v>Definir agendas seguras para realização das teleconsultorias</c:v>
                </c:pt>
                <c:pt idx="7">
                  <c:v>Criar repositório permanente de casos e estudos</c:v>
                </c:pt>
                <c:pt idx="8">
                  <c:v>Estruturar grupo de estudo sobre telessaúde (implementação, operação, inovação... ) </c:v>
                </c:pt>
                <c:pt idx="9">
                  <c:v>Definir representantes municipais para atuar na condução conjunta da Telessaúde na microrregião</c:v>
                </c:pt>
                <c:pt idx="10">
                  <c:v>Instituir instância de governança microrregional (escopo de atuação, atribuições, regularidade dos encontros etc)</c:v>
                </c:pt>
                <c:pt idx="11">
                  <c:v>Instituir governança local de dados</c:v>
                </c:pt>
                <c:pt idx="12">
                  <c:v>Definir fluxos de decisão e escalonamento</c:v>
                </c:pt>
                <c:pt idx="13">
                  <c:v>Estabelecer fluxo de comunicação com a regional e o estado</c:v>
                </c:pt>
                <c:pt idx="14">
                  <c:v>Definir instância mínima de decisão (ponto focal ou comitê)</c:v>
                </c:pt>
                <c:pt idx="15">
                  <c:v>Designar responsáveis formais pela governança dos dados</c:v>
                </c:pt>
                <c:pt idx="16">
                  <c:v>Definir regras de acesso e segurança da informação</c:v>
                </c:pt>
                <c:pt idx="17">
                  <c:v>Alinhar regras à LGPD e às diretrizes estaduais</c:v>
                </c:pt>
                <c:pt idx="18">
                  <c:v>Definir escopo claro do que será integrado em cada fase</c:v>
                </c:pt>
                <c:pt idx="19">
                  <c:v>Priorizar padrões conforme sistemas críticos mapeados</c:v>
                </c:pt>
                <c:pt idx="20">
                  <c:v>Priorizar padrões compatíveis com sistemas já existentes</c:v>
                </c:pt>
                <c:pt idx="21">
                  <c:v>Estabelecer padrões mínimos de troca de dados</c:v>
                </c:pt>
                <c:pt idx="22">
                  <c:v>Definir padrões básicos de interoperabilidade conforme orientação estadual</c:v>
                </c:pt>
                <c:pt idx="23">
                  <c:v>Nomear grupo de trabalho da micro</c:v>
                </c:pt>
                <c:pt idx="24">
                  <c:v>Mapear os sistemas de informação em uso no município (ex: sistemas assistenciais, administrativos, regulatórios e de vigilância)</c:v>
                </c:pt>
                <c:pt idx="25">
                  <c:v>Classificar os sistemas por criticidade e função</c:v>
                </c:pt>
                <c:pt idx="26">
                  <c:v>Identificar sistemas essenciais para continuidade do cuidado</c:v>
                </c:pt>
                <c:pt idx="27">
                  <c:v>Diferenciar sistemas estruturantes de sistemas acessórios</c:v>
                </c:pt>
                <c:pt idx="28">
                  <c:v>Elaborar campanha de sensibilização</c:v>
                </c:pt>
                <c:pt idx="29">
                  <c:v>Definir percentual mínimo de membros das equipes habilitados</c:v>
                </c:pt>
                <c:pt idx="30">
                  <c:v>Formalizar equipe Intersetorial na CIB microrregional</c:v>
                </c:pt>
                <c:pt idx="31">
                  <c:v>Capacitar equipe intersetorial</c:v>
                </c:pt>
                <c:pt idx="32">
                  <c:v>Identificar necessidades locais e planejar ações.</c:v>
                </c:pt>
                <c:pt idx="33">
                  <c:v>Definir portfólio de cursos (fixos e sazionais)</c:v>
                </c:pt>
                <c:pt idx="34">
                  <c:v>Solicitar treinamentos conforme necessidades.</c:v>
                </c:pt>
                <c:pt idx="35">
                  <c:v>Desenvolver protocolos e indicadores.</c:v>
                </c:pt>
                <c:pt idx="36">
                  <c:v>Elaborar modelo  avaliação das formações</c:v>
                </c:pt>
                <c:pt idx="37">
                  <c:v>Realizar campanha de sensibilização e mobilização para formações</c:v>
                </c:pt>
                <c:pt idx="38">
                  <c:v>Preparar material de formação</c:v>
                </c:pt>
                <c:pt idx="39">
                  <c:v>Criar formação básica em telessaúde</c:v>
                </c:pt>
                <c:pt idx="40">
                  <c:v>Elaborar fluxos para utilização da teleconsultoria</c:v>
                </c:pt>
                <c:pt idx="41">
                  <c:v>Definir parâmetros mínimos de utilização</c:v>
                </c:pt>
                <c:pt idx="42">
                  <c:v>Definir indicadores de sucesso</c:v>
                </c:pt>
                <c:pt idx="43">
                  <c:v>Elaborar a estratégia microrregional alinhada com as diretrizes estaduais</c:v>
                </c:pt>
                <c:pt idx="44">
                  <c:v>Apresentar informações sobre a situação de uso da teleconsultoria na microrregião</c:v>
                </c:pt>
                <c:pt idx="45">
                  <c:v>Fazer diagnóstico técnico da infraestrutura</c:v>
                </c:pt>
                <c:pt idx="46">
                  <c:v>Levantar gargalos técnicos referentes à implantação</c:v>
                </c:pt>
                <c:pt idx="47">
                  <c:v>Levantar as necessidades assistenciais relacionadas à Telessaúde</c:v>
                </c:pt>
                <c:pt idx="48">
                  <c:v>Identificar a disponibilidade orçamentária para uso da Telessaúde</c:v>
                </c:pt>
                <c:pt idx="49">
                  <c:v>Definir público estratégico para capacitação</c:v>
                </c:pt>
                <c:pt idx="50">
                  <c:v>Definir instrumentos e periodicidade de capacitação</c:v>
                </c:pt>
                <c:pt idx="51">
                  <c:v>Estabelecer formatos adequados (oficinas, apoio técnico, materiais)</c:v>
                </c:pt>
                <c:pt idx="52">
                  <c:v>Instituir rotinas de uso da informação</c:v>
                </c:pt>
                <c:pt idx="53">
                  <c:v>Realizar formações priorizadas</c:v>
                </c:pt>
                <c:pt idx="54">
                  <c:v>Capacitar para uso da informação na gestão</c:v>
                </c:pt>
                <c:pt idx="55">
                  <c:v>Capacitar para uso qualificado dos sistemas integrados</c:v>
                </c:pt>
                <c:pt idx="56">
                  <c:v>Treinar com base nos sistemas efetivamente priorizados</c:v>
                </c:pt>
                <c:pt idx="57">
                  <c:v>Realizar formação das equipes indicadas</c:v>
                </c:pt>
                <c:pt idx="58">
                  <c:v>Executar avaliação trimestral</c:v>
                </c:pt>
                <c:pt idx="59">
                  <c:v>Elaborar plano de ação para superação dos obstáculos identificados</c:v>
                </c:pt>
                <c:pt idx="60">
                  <c:v>Identificar lacunas e necessidades relacionadas à integração</c:v>
                </c:pt>
                <c:pt idx="61">
                  <c:v>Identificar retrabalho, duplicidade de registro e perda de informação</c:v>
                </c:pt>
                <c:pt idx="62">
                  <c:v>Mapear fluxos de dados e uso da informação</c:v>
                </c:pt>
                <c:pt idx="63">
                  <c:v>Identificar quem produz, quem consome e para qual finalidade</c:v>
                </c:pt>
                <c:pt idx="64">
                  <c:v>Verificar aderência aos fluxos estaduais e nacionais (ex: RNDS)</c:v>
                </c:pt>
                <c:pt idx="65">
                  <c:v>Aplicar avaliação</c:v>
                </c:pt>
                <c:pt idx="66">
                  <c:v>Definir uma rede de apoio pós-treinamentos.</c:v>
                </c:pt>
                <c:pt idx="67">
                  <c:v>Criar a rede de profissionais habilitados em telessaúde</c:v>
                </c:pt>
                <c:pt idx="68">
                  <c:v>Criar momentos formais de análise de dados</c:v>
                </c:pt>
                <c:pt idx="69">
                  <c:v>Criar cultura de uso contínuo da informação para tomada de decisões </c:v>
                </c:pt>
                <c:pt idx="70">
                  <c:v>Apresentar resultados das qualificações - CIB Micro</c:v>
                </c:pt>
                <c:pt idx="71">
                  <c:v>Consolidar diagnóstico para apoio à decisão - síntese com sistemas prioritários para integração</c:v>
                </c:pt>
                <c:pt idx="72">
                  <c:v>Apontar riscos e oportunidades para a gestão regional e estadual</c:v>
                </c:pt>
              </c:strCache>
            </c:strRef>
          </c:cat>
          <c:val>
            <c:numRef>
              <c:f>'Base Plano'!$J$2:$J$75</c:f>
              <c:numCache>
                <c:formatCode>0</c:formatCode>
                <c:ptCount val="74"/>
                <c:pt idx="0">
                  <c:v>0</c:v>
                </c:pt>
                <c:pt idx="1">
                  <c:v>0</c:v>
                </c:pt>
                <c:pt idx="2">
                  <c:v>0</c:v>
                </c:pt>
                <c:pt idx="3">
                  <c:v>0</c:v>
                </c:pt>
                <c:pt idx="4">
                  <c:v>0</c:v>
                </c:pt>
                <c:pt idx="5">
                  <c:v>0</c:v>
                </c:pt>
                <c:pt idx="6">
                  <c:v>0</c:v>
                </c:pt>
                <c:pt idx="7">
                  <c:v>0</c:v>
                </c:pt>
                <c:pt idx="8">
                  <c:v>0</c:v>
                </c:pt>
                <c:pt idx="9">
                  <c:v>0</c:v>
                </c:pt>
                <c:pt idx="10">
                  <c:v>0</c:v>
                </c:pt>
                <c:pt idx="11">
                  <c:v>57</c:v>
                </c:pt>
                <c:pt idx="12">
                  <c:v>57</c:v>
                </c:pt>
                <c:pt idx="13">
                  <c:v>57</c:v>
                </c:pt>
                <c:pt idx="14">
                  <c:v>57</c:v>
                </c:pt>
                <c:pt idx="15">
                  <c:v>57</c:v>
                </c:pt>
                <c:pt idx="16">
                  <c:v>210</c:v>
                </c:pt>
                <c:pt idx="17">
                  <c:v>210</c:v>
                </c:pt>
                <c:pt idx="18">
                  <c:v>210</c:v>
                </c:pt>
                <c:pt idx="19">
                  <c:v>210</c:v>
                </c:pt>
                <c:pt idx="20">
                  <c:v>210</c:v>
                </c:pt>
                <c:pt idx="21">
                  <c:v>210</c:v>
                </c:pt>
                <c:pt idx="22">
                  <c:v>210</c:v>
                </c:pt>
                <c:pt idx="23">
                  <c:v>25</c:v>
                </c:pt>
                <c:pt idx="24">
                  <c:v>148</c:v>
                </c:pt>
                <c:pt idx="25">
                  <c:v>148</c:v>
                </c:pt>
                <c:pt idx="26">
                  <c:v>148</c:v>
                </c:pt>
                <c:pt idx="27">
                  <c:v>148</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29</c:v>
                </c:pt>
                <c:pt idx="50">
                  <c:v>29</c:v>
                </c:pt>
                <c:pt idx="51">
                  <c:v>29</c:v>
                </c:pt>
                <c:pt idx="52">
                  <c:v>60</c:v>
                </c:pt>
                <c:pt idx="53">
                  <c:v>0</c:v>
                </c:pt>
                <c:pt idx="54">
                  <c:v>122</c:v>
                </c:pt>
                <c:pt idx="55">
                  <c:v>122</c:v>
                </c:pt>
                <c:pt idx="56">
                  <c:v>122</c:v>
                </c:pt>
                <c:pt idx="57">
                  <c:v>0</c:v>
                </c:pt>
                <c:pt idx="58">
                  <c:v>0</c:v>
                </c:pt>
                <c:pt idx="59">
                  <c:v>0</c:v>
                </c:pt>
                <c:pt idx="60">
                  <c:v>122</c:v>
                </c:pt>
                <c:pt idx="61">
                  <c:v>122</c:v>
                </c:pt>
                <c:pt idx="62">
                  <c:v>122</c:v>
                </c:pt>
                <c:pt idx="63">
                  <c:v>122</c:v>
                </c:pt>
                <c:pt idx="64">
                  <c:v>122</c:v>
                </c:pt>
                <c:pt idx="65">
                  <c:v>0</c:v>
                </c:pt>
                <c:pt idx="66">
                  <c:v>0</c:v>
                </c:pt>
                <c:pt idx="67">
                  <c:v>0</c:v>
                </c:pt>
                <c:pt idx="68">
                  <c:v>152</c:v>
                </c:pt>
                <c:pt idx="69">
                  <c:v>121</c:v>
                </c:pt>
                <c:pt idx="70">
                  <c:v>0</c:v>
                </c:pt>
                <c:pt idx="71">
                  <c:v>60</c:v>
                </c:pt>
                <c:pt idx="72">
                  <c:v>60</c:v>
                </c:pt>
              </c:numCache>
            </c:numRef>
          </c:val>
          <c:extLst>
            <c:ext xmlns:c16="http://schemas.microsoft.com/office/drawing/2014/chart" uri="{C3380CC4-5D6E-409C-BE32-E72D297353CC}">
              <c16:uniqueId val="{00000003-1757-4096-9925-52337F4F8E67}"/>
            </c:ext>
          </c:extLst>
        </c:ser>
        <c:dLbls>
          <c:showLegendKey val="0"/>
          <c:showVal val="0"/>
          <c:showCatName val="0"/>
          <c:showSerName val="0"/>
          <c:showPercent val="0"/>
          <c:showBubbleSize val="0"/>
        </c:dLbls>
        <c:gapWidth val="74"/>
        <c:overlap val="100"/>
        <c:axId val="559015944"/>
        <c:axId val="548917255"/>
      </c:barChart>
      <c:catAx>
        <c:axId val="559015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548917255"/>
        <c:crosses val="autoZero"/>
        <c:auto val="1"/>
        <c:lblAlgn val="ctr"/>
        <c:lblOffset val="100"/>
        <c:noMultiLvlLbl val="0"/>
      </c:catAx>
      <c:valAx>
        <c:axId val="548917255"/>
        <c:scaling>
          <c:orientation val="minMax"/>
          <c:max val="46387"/>
          <c:min val="46054"/>
        </c:scaling>
        <c:delete val="0"/>
        <c:axPos val="t"/>
        <c:majorGridlines>
          <c:spPr>
            <a:ln w="9525" cap="flat" cmpd="sng" algn="ctr">
              <a:solidFill>
                <a:schemeClr val="tx1">
                  <a:lumMod val="15000"/>
                  <a:lumOff val="85000"/>
                </a:schemeClr>
              </a:solidFill>
              <a:round/>
            </a:ln>
            <a:effectLst/>
          </c:spPr>
        </c:majorGridlines>
        <c:numFmt formatCode="m/d/yyyy"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00"/>
                </a:solidFill>
                <a:latin typeface="+mn-lt"/>
                <a:ea typeface="+mn-ea"/>
                <a:cs typeface="+mn-cs"/>
              </a:defRPr>
            </a:pPr>
            <a:endParaRPr lang="en-US"/>
          </a:p>
        </c:txPr>
        <c:crossAx val="559015944"/>
        <c:crosses val="autoZero"/>
        <c:crossBetween val="between"/>
        <c:majorUnit val="30"/>
        <c:minorUnit val="7"/>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85725</xdr:rowOff>
    </xdr:from>
    <xdr:to>
      <xdr:col>25</xdr:col>
      <xdr:colOff>190500</xdr:colOff>
      <xdr:row>107</xdr:row>
      <xdr:rowOff>85725</xdr:rowOff>
    </xdr:to>
    <xdr:graphicFrame macro="">
      <xdr:nvGraphicFramePr>
        <xdr:cNvPr id="2" name="Gráfico 1">
          <a:extLst>
            <a:ext uri="{FF2B5EF4-FFF2-40B4-BE49-F238E27FC236}">
              <a16:creationId xmlns:a16="http://schemas.microsoft.com/office/drawing/2014/main" id="{EF676C95-C3E3-B639-002A-68FE80DC5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8E1C-4240-4318-A964-9D27058A80F6}">
  <sheetPr>
    <pageSetUpPr fitToPage="1"/>
  </sheetPr>
  <dimension ref="A1:V950"/>
  <sheetViews>
    <sheetView tabSelected="1" topLeftCell="A176" zoomScale="90" zoomScaleNormal="90" workbookViewId="0">
      <selection activeCell="E93" sqref="E93"/>
    </sheetView>
  </sheetViews>
  <sheetFormatPr defaultColWidth="0" defaultRowHeight="15" customHeight="1" zeroHeight="1" outlineLevelRow="1"/>
  <cols>
    <col min="1" max="1" width="1.28515625" style="93" customWidth="1"/>
    <col min="2" max="2" width="1.7109375" style="93" customWidth="1"/>
    <col min="3" max="3" width="10.5703125" style="93" customWidth="1"/>
    <col min="4" max="4" width="52.28515625" style="93" customWidth="1"/>
    <col min="5" max="5" width="24.85546875" style="93" customWidth="1"/>
    <col min="6" max="6" width="15.42578125" style="93" customWidth="1"/>
    <col min="7" max="9" width="16.5703125" style="93" customWidth="1"/>
    <col min="10" max="10" width="1.5703125" style="93" customWidth="1"/>
    <col min="11" max="11" width="2.28515625" style="93" customWidth="1"/>
    <col min="12" max="22" width="8.7109375" style="93" hidden="1" customWidth="1"/>
    <col min="23" max="16384" width="0" style="93" hidden="1"/>
  </cols>
  <sheetData>
    <row r="1" spans="1:22" ht="6" customHeight="1">
      <c r="A1" s="91"/>
      <c r="B1" s="91"/>
      <c r="C1" s="91"/>
      <c r="D1" s="91"/>
      <c r="E1" s="91"/>
      <c r="F1" s="92"/>
      <c r="G1" s="92"/>
      <c r="H1" s="92"/>
      <c r="I1" s="92"/>
      <c r="J1" s="91"/>
      <c r="K1" s="91"/>
      <c r="L1" s="91"/>
      <c r="M1" s="91"/>
      <c r="N1" s="91"/>
      <c r="O1" s="91"/>
      <c r="P1" s="91"/>
      <c r="Q1" s="91"/>
      <c r="R1" s="91"/>
      <c r="S1" s="91"/>
      <c r="T1" s="91"/>
      <c r="U1" s="91"/>
      <c r="V1" s="91"/>
    </row>
    <row r="2" spans="1:22" ht="12" customHeight="1">
      <c r="A2" s="91"/>
      <c r="B2" s="94"/>
      <c r="C2" s="95"/>
      <c r="D2" s="95"/>
      <c r="E2" s="95"/>
      <c r="F2" s="96"/>
      <c r="G2" s="96"/>
      <c r="H2" s="96"/>
      <c r="I2" s="96"/>
      <c r="J2" s="97"/>
      <c r="K2" s="91"/>
      <c r="L2" s="91"/>
      <c r="M2" s="91"/>
      <c r="N2" s="91"/>
      <c r="O2" s="91"/>
      <c r="P2" s="91"/>
      <c r="Q2" s="91"/>
      <c r="R2" s="91"/>
      <c r="S2" s="91"/>
      <c r="T2" s="91"/>
      <c r="U2" s="91"/>
      <c r="V2" s="91"/>
    </row>
    <row r="3" spans="1:22" ht="12" customHeight="1">
      <c r="A3" s="91"/>
      <c r="B3" s="98"/>
      <c r="C3" s="243" t="s">
        <v>0</v>
      </c>
      <c r="D3" s="272"/>
      <c r="E3" s="272"/>
      <c r="F3" s="272"/>
      <c r="G3" s="272"/>
      <c r="H3" s="272"/>
      <c r="I3" s="272"/>
      <c r="J3" s="99"/>
      <c r="K3" s="91"/>
      <c r="L3" s="91"/>
      <c r="M3" s="91"/>
      <c r="N3" s="91"/>
      <c r="O3" s="91"/>
      <c r="P3" s="91"/>
      <c r="Q3" s="91"/>
      <c r="R3" s="91"/>
      <c r="S3" s="91"/>
      <c r="T3" s="91"/>
      <c r="U3" s="91"/>
      <c r="V3" s="91"/>
    </row>
    <row r="4" spans="1:22" ht="12" customHeight="1">
      <c r="A4" s="91"/>
      <c r="B4" s="98"/>
      <c r="C4" s="272"/>
      <c r="D4" s="273"/>
      <c r="E4" s="273"/>
      <c r="F4" s="273"/>
      <c r="G4" s="273"/>
      <c r="H4" s="273"/>
      <c r="I4" s="273"/>
      <c r="J4" s="99"/>
      <c r="K4" s="91"/>
      <c r="L4" s="91"/>
      <c r="M4" s="91"/>
      <c r="N4" s="91"/>
      <c r="O4" s="91"/>
      <c r="P4" s="91"/>
      <c r="Q4" s="91"/>
      <c r="R4" s="91"/>
      <c r="S4" s="91"/>
      <c r="T4" s="91"/>
      <c r="U4" s="91"/>
      <c r="V4" s="91"/>
    </row>
    <row r="5" spans="1:22" ht="12" customHeight="1">
      <c r="A5" s="91"/>
      <c r="B5" s="98"/>
      <c r="C5" s="272"/>
      <c r="D5" s="273"/>
      <c r="E5" s="273"/>
      <c r="F5" s="273"/>
      <c r="G5" s="273"/>
      <c r="H5" s="273"/>
      <c r="I5" s="273"/>
      <c r="J5" s="99"/>
      <c r="K5" s="91"/>
      <c r="L5" s="91"/>
      <c r="M5" s="91"/>
      <c r="N5" s="91"/>
      <c r="O5" s="91"/>
      <c r="P5" s="91"/>
      <c r="Q5" s="91"/>
      <c r="R5" s="91"/>
      <c r="S5" s="91"/>
      <c r="T5" s="91"/>
      <c r="U5" s="91"/>
      <c r="V5" s="91"/>
    </row>
    <row r="6" spans="1:22" s="129" customFormat="1" ht="21" customHeight="1">
      <c r="A6" s="126"/>
      <c r="B6" s="127"/>
      <c r="C6" s="244" t="s">
        <v>1</v>
      </c>
      <c r="D6" s="244"/>
      <c r="E6" s="244"/>
      <c r="F6" s="244"/>
      <c r="G6" s="244"/>
      <c r="H6" s="244"/>
      <c r="I6" s="244"/>
      <c r="J6" s="128"/>
      <c r="K6" s="126"/>
      <c r="L6" s="126"/>
      <c r="M6" s="126"/>
      <c r="N6" s="126"/>
      <c r="O6" s="126"/>
      <c r="P6" s="126"/>
      <c r="Q6" s="126"/>
      <c r="R6" s="126"/>
      <c r="S6" s="126"/>
      <c r="T6" s="126"/>
      <c r="U6" s="126"/>
      <c r="V6" s="126"/>
    </row>
    <row r="7" spans="1:22" ht="12" customHeight="1">
      <c r="A7" s="91"/>
      <c r="B7" s="98"/>
      <c r="C7" s="91"/>
      <c r="D7" s="91"/>
      <c r="E7" s="91"/>
      <c r="F7" s="92"/>
      <c r="G7" s="92"/>
      <c r="H7" s="92"/>
      <c r="I7" s="92"/>
      <c r="J7" s="99"/>
      <c r="K7" s="91"/>
      <c r="L7" s="91"/>
      <c r="M7" s="91"/>
      <c r="N7" s="91"/>
      <c r="O7" s="91"/>
      <c r="P7" s="91"/>
      <c r="Q7" s="91"/>
      <c r="R7" s="91"/>
      <c r="S7" s="91"/>
      <c r="T7" s="91"/>
      <c r="U7" s="91"/>
      <c r="V7" s="91"/>
    </row>
    <row r="8" spans="1:22" ht="12" customHeight="1">
      <c r="A8" s="91"/>
      <c r="B8" s="98"/>
      <c r="C8" s="130" t="s">
        <v>2</v>
      </c>
      <c r="D8" s="131"/>
      <c r="E8" s="131"/>
      <c r="F8" s="132"/>
      <c r="G8" s="132"/>
      <c r="H8" s="132"/>
      <c r="I8" s="132"/>
      <c r="J8" s="99"/>
      <c r="K8" s="91"/>
      <c r="L8" s="91"/>
      <c r="M8" s="91"/>
      <c r="N8" s="91"/>
      <c r="O8" s="91"/>
      <c r="P8" s="91"/>
      <c r="Q8" s="91"/>
      <c r="R8" s="91"/>
      <c r="S8" s="91"/>
      <c r="T8" s="91"/>
      <c r="U8" s="91"/>
      <c r="V8" s="91"/>
    </row>
    <row r="9" spans="1:22" ht="2.4500000000000002" customHeight="1">
      <c r="A9" s="91"/>
      <c r="B9" s="98"/>
      <c r="C9" s="100"/>
      <c r="D9" s="91"/>
      <c r="E9" s="91"/>
      <c r="F9" s="92"/>
      <c r="G9" s="92"/>
      <c r="H9" s="92"/>
      <c r="I9" s="92"/>
      <c r="J9" s="99"/>
      <c r="K9" s="91"/>
      <c r="L9" s="91"/>
      <c r="M9" s="91"/>
      <c r="N9" s="91"/>
      <c r="O9" s="91"/>
      <c r="P9" s="91"/>
      <c r="Q9" s="91"/>
      <c r="R9" s="91"/>
      <c r="S9" s="91"/>
      <c r="T9" s="91"/>
      <c r="U9" s="91"/>
      <c r="V9" s="91"/>
    </row>
    <row r="10" spans="1:22" ht="44.25" customHeight="1">
      <c r="A10" s="91"/>
      <c r="B10" s="98"/>
      <c r="C10" s="101" t="s">
        <v>3</v>
      </c>
      <c r="D10" s="245" t="s">
        <v>4</v>
      </c>
      <c r="E10" s="227"/>
      <c r="F10" s="227"/>
      <c r="G10" s="227"/>
      <c r="H10" s="227"/>
      <c r="I10" s="228"/>
      <c r="J10" s="99"/>
      <c r="K10" s="91"/>
      <c r="L10" s="91"/>
      <c r="M10" s="91"/>
      <c r="N10" s="91"/>
      <c r="O10" s="91"/>
      <c r="P10" s="91"/>
      <c r="Q10" s="91"/>
      <c r="R10" s="91"/>
      <c r="S10" s="91"/>
      <c r="T10" s="91"/>
      <c r="U10" s="91"/>
      <c r="V10" s="91"/>
    </row>
    <row r="11" spans="1:22" ht="2.4500000000000002" customHeight="1">
      <c r="A11" s="91"/>
      <c r="B11" s="98"/>
      <c r="C11" s="100"/>
      <c r="D11" s="91"/>
      <c r="E11" s="91"/>
      <c r="F11" s="92"/>
      <c r="G11" s="92"/>
      <c r="H11" s="92"/>
      <c r="I11" s="92"/>
      <c r="J11" s="99"/>
      <c r="K11" s="91"/>
      <c r="L11" s="91"/>
      <c r="M11" s="91"/>
      <c r="N11" s="91"/>
      <c r="O11" s="91"/>
      <c r="P11" s="91"/>
      <c r="Q11" s="91"/>
      <c r="R11" s="91"/>
      <c r="S11" s="91"/>
      <c r="T11" s="91"/>
      <c r="U11" s="91"/>
      <c r="V11" s="91"/>
    </row>
    <row r="12" spans="1:22" ht="17.100000000000001" customHeight="1">
      <c r="A12" s="91"/>
      <c r="B12" s="98"/>
      <c r="C12" s="246" t="s">
        <v>5</v>
      </c>
      <c r="D12" s="246"/>
      <c r="E12" s="91"/>
      <c r="F12" s="92"/>
      <c r="G12" s="92"/>
      <c r="H12" s="92"/>
      <c r="I12" s="92"/>
      <c r="J12" s="99"/>
      <c r="K12" s="91"/>
      <c r="L12" s="91"/>
      <c r="M12" s="91"/>
      <c r="N12" s="91"/>
      <c r="O12" s="91"/>
      <c r="P12" s="91"/>
      <c r="Q12" s="91"/>
      <c r="R12" s="91"/>
      <c r="S12" s="91"/>
      <c r="T12" s="91"/>
      <c r="U12" s="91"/>
      <c r="V12" s="91"/>
    </row>
    <row r="13" spans="1:22" ht="6.6" customHeight="1">
      <c r="A13" s="91"/>
      <c r="B13" s="98"/>
      <c r="D13" s="91"/>
      <c r="E13" s="91"/>
      <c r="F13" s="92"/>
      <c r="G13" s="92"/>
      <c r="H13" s="92"/>
      <c r="I13" s="92"/>
      <c r="J13" s="99"/>
      <c r="K13" s="91"/>
      <c r="L13" s="91"/>
      <c r="M13" s="91"/>
      <c r="N13" s="91"/>
      <c r="O13" s="91"/>
      <c r="P13" s="91"/>
      <c r="Q13" s="91"/>
      <c r="R13" s="91"/>
      <c r="S13" s="91"/>
      <c r="T13" s="91"/>
      <c r="U13" s="91"/>
      <c r="V13" s="91"/>
    </row>
    <row r="14" spans="1:22" ht="36.75" customHeight="1">
      <c r="A14" s="91"/>
      <c r="B14" s="98"/>
      <c r="C14" s="229" t="s">
        <v>6</v>
      </c>
      <c r="D14" s="230"/>
      <c r="E14" s="230"/>
      <c r="F14" s="230"/>
      <c r="G14" s="230"/>
      <c r="H14" s="230"/>
      <c r="I14" s="231"/>
      <c r="J14" s="99"/>
      <c r="K14" s="91"/>
      <c r="L14" s="91"/>
      <c r="M14" s="91"/>
      <c r="N14" s="91"/>
      <c r="O14" s="91"/>
      <c r="P14" s="91"/>
      <c r="Q14" s="91"/>
      <c r="R14" s="91"/>
      <c r="S14" s="91"/>
      <c r="T14" s="91"/>
      <c r="U14" s="91"/>
      <c r="V14" s="91"/>
    </row>
    <row r="15" spans="1:22" ht="6.6" customHeight="1">
      <c r="A15" s="91"/>
      <c r="B15" s="98"/>
      <c r="C15" s="91"/>
      <c r="D15" s="91"/>
      <c r="E15" s="91"/>
      <c r="F15" s="92"/>
      <c r="G15" s="92"/>
      <c r="H15" s="92"/>
      <c r="I15" s="92"/>
      <c r="J15" s="99"/>
      <c r="K15" s="91"/>
      <c r="L15" s="91"/>
      <c r="M15" s="91"/>
      <c r="N15" s="91"/>
      <c r="O15" s="91"/>
      <c r="P15" s="91"/>
      <c r="Q15" s="91"/>
      <c r="R15" s="91"/>
      <c r="S15" s="91"/>
      <c r="T15" s="91"/>
      <c r="U15" s="91"/>
      <c r="V15" s="91"/>
    </row>
    <row r="16" spans="1:22" ht="17.100000000000001" customHeight="1">
      <c r="A16" s="91"/>
      <c r="B16" s="98"/>
      <c r="C16" s="246" t="s">
        <v>7</v>
      </c>
      <c r="D16" s="246"/>
      <c r="E16" s="91"/>
      <c r="F16" s="92"/>
      <c r="G16" s="92"/>
      <c r="H16" s="92"/>
      <c r="I16" s="92"/>
      <c r="J16" s="99"/>
      <c r="K16" s="91"/>
      <c r="L16" s="91"/>
      <c r="M16" s="91"/>
      <c r="N16" s="91"/>
      <c r="O16" s="91"/>
      <c r="P16" s="91"/>
      <c r="Q16" s="91"/>
      <c r="R16" s="91"/>
      <c r="S16" s="91"/>
      <c r="T16" s="91"/>
      <c r="U16" s="91"/>
      <c r="V16" s="91"/>
    </row>
    <row r="17" spans="1:22" ht="6.6" customHeight="1">
      <c r="A17" s="91"/>
      <c r="B17" s="98"/>
      <c r="D17" s="91"/>
      <c r="E17" s="91"/>
      <c r="F17" s="92"/>
      <c r="G17" s="92"/>
      <c r="H17" s="92"/>
      <c r="I17" s="92"/>
      <c r="J17" s="99"/>
      <c r="K17" s="91"/>
      <c r="L17" s="91"/>
      <c r="M17" s="91"/>
      <c r="N17" s="91"/>
      <c r="O17" s="91"/>
      <c r="P17" s="91"/>
      <c r="Q17" s="91"/>
      <c r="R17" s="91"/>
      <c r="S17" s="91"/>
      <c r="T17" s="91"/>
      <c r="U17" s="91"/>
      <c r="V17" s="91"/>
    </row>
    <row r="18" spans="1:22" s="129" customFormat="1" ht="75.75" customHeight="1">
      <c r="A18" s="126"/>
      <c r="B18" s="127"/>
      <c r="C18" s="232" t="s">
        <v>8</v>
      </c>
      <c r="D18" s="233"/>
      <c r="E18" s="233"/>
      <c r="F18" s="233"/>
      <c r="G18" s="233"/>
      <c r="H18" s="233"/>
      <c r="I18" s="234"/>
      <c r="J18" s="128"/>
      <c r="K18" s="126"/>
      <c r="L18" s="126"/>
      <c r="M18" s="126"/>
      <c r="N18" s="126"/>
      <c r="O18" s="126"/>
      <c r="P18" s="126"/>
      <c r="Q18" s="126"/>
      <c r="R18" s="126"/>
      <c r="S18" s="126"/>
      <c r="T18" s="126"/>
      <c r="U18" s="126"/>
      <c r="V18" s="126"/>
    </row>
    <row r="19" spans="1:22" ht="12" customHeight="1">
      <c r="A19" s="91"/>
      <c r="B19" s="98"/>
      <c r="C19" s="91"/>
      <c r="D19" s="91"/>
      <c r="E19" s="91"/>
      <c r="F19" s="92"/>
      <c r="G19" s="92"/>
      <c r="H19" s="92"/>
      <c r="I19" s="92"/>
      <c r="J19" s="99"/>
      <c r="K19" s="91"/>
      <c r="L19" s="91"/>
      <c r="M19" s="91"/>
      <c r="N19" s="91"/>
      <c r="O19" s="91"/>
      <c r="P19" s="91"/>
      <c r="Q19" s="91"/>
      <c r="R19" s="91"/>
      <c r="S19" s="91"/>
      <c r="T19" s="91"/>
      <c r="U19" s="91"/>
      <c r="V19" s="91"/>
    </row>
    <row r="20" spans="1:22" ht="78.95" customHeight="1">
      <c r="A20" s="91"/>
      <c r="B20" s="98"/>
      <c r="C20" s="204" t="s">
        <v>9</v>
      </c>
      <c r="D20" s="247" t="s">
        <v>10</v>
      </c>
      <c r="E20" s="240"/>
      <c r="F20" s="241" t="s">
        <v>11</v>
      </c>
      <c r="G20" s="242"/>
      <c r="H20" s="242"/>
      <c r="I20" s="242"/>
      <c r="J20" s="99"/>
      <c r="K20" s="91"/>
      <c r="L20" s="91"/>
      <c r="M20" s="91"/>
      <c r="N20" s="91"/>
      <c r="O20" s="91"/>
      <c r="P20" s="91"/>
      <c r="Q20" s="91"/>
      <c r="R20" s="91"/>
      <c r="S20" s="91"/>
      <c r="T20" s="91"/>
      <c r="U20" s="91"/>
      <c r="V20" s="91"/>
    </row>
    <row r="21" spans="1:22" s="104" customFormat="1" ht="4.5" customHeight="1" outlineLevel="1">
      <c r="A21" s="91"/>
      <c r="B21" s="98"/>
      <c r="C21" s="102"/>
      <c r="D21" s="102"/>
      <c r="E21" s="102"/>
      <c r="F21" s="102"/>
      <c r="G21" s="102"/>
      <c r="H21" s="103"/>
      <c r="I21" s="103"/>
      <c r="J21" s="99"/>
      <c r="K21" s="91"/>
      <c r="L21" s="91"/>
      <c r="M21" s="91"/>
      <c r="N21" s="91"/>
      <c r="O21" s="91"/>
      <c r="P21" s="91"/>
      <c r="Q21" s="91"/>
      <c r="R21" s="91"/>
      <c r="S21" s="91"/>
      <c r="T21" s="91"/>
      <c r="U21" s="91"/>
      <c r="V21" s="91"/>
    </row>
    <row r="22" spans="1:22" ht="38.450000000000003" customHeight="1" outlineLevel="1">
      <c r="A22" s="91"/>
      <c r="B22" s="98"/>
      <c r="C22" s="105"/>
      <c r="D22" s="106" t="s">
        <v>12</v>
      </c>
      <c r="E22" s="107" t="s">
        <v>13</v>
      </c>
      <c r="F22" s="107" t="s">
        <v>14</v>
      </c>
      <c r="G22" s="107" t="s">
        <v>15</v>
      </c>
      <c r="H22" s="107" t="s">
        <v>16</v>
      </c>
      <c r="I22" s="107" t="s">
        <v>17</v>
      </c>
      <c r="J22" s="99"/>
      <c r="K22" s="91"/>
      <c r="L22" s="91"/>
      <c r="M22" s="91"/>
      <c r="N22" s="91"/>
      <c r="O22" s="91"/>
      <c r="P22" s="91"/>
      <c r="Q22" s="91"/>
      <c r="R22" s="91"/>
      <c r="S22" s="91"/>
      <c r="T22" s="91"/>
      <c r="U22" s="91"/>
      <c r="V22" s="91"/>
    </row>
    <row r="23" spans="1:22" ht="34.5" customHeight="1" outlineLevel="1">
      <c r="A23" s="91"/>
      <c r="B23" s="98"/>
      <c r="C23" s="102"/>
      <c r="D23" s="137" t="s">
        <v>18</v>
      </c>
      <c r="E23" s="147" t="s">
        <v>19</v>
      </c>
      <c r="F23" s="109"/>
      <c r="G23" s="121">
        <v>46055</v>
      </c>
      <c r="H23" s="121">
        <v>46080</v>
      </c>
      <c r="I23" s="121"/>
      <c r="J23" s="99"/>
      <c r="K23" s="91"/>
      <c r="L23" s="91"/>
      <c r="M23" s="91"/>
      <c r="N23" s="91"/>
      <c r="O23" s="91"/>
      <c r="P23" s="91"/>
      <c r="Q23" s="91"/>
      <c r="R23" s="91"/>
      <c r="S23" s="91"/>
      <c r="T23" s="91"/>
      <c r="U23" s="91"/>
      <c r="V23" s="91"/>
    </row>
    <row r="24" spans="1:22" ht="23.25" customHeight="1" outlineLevel="1">
      <c r="A24" s="91"/>
      <c r="B24" s="98"/>
      <c r="C24" s="102"/>
      <c r="D24" s="137" t="s">
        <v>20</v>
      </c>
      <c r="E24" s="138" t="s">
        <v>21</v>
      </c>
      <c r="F24" s="109"/>
      <c r="G24" s="121">
        <v>46055</v>
      </c>
      <c r="H24" s="121">
        <v>46080</v>
      </c>
      <c r="I24" s="121"/>
      <c r="J24" s="99"/>
      <c r="K24" s="91"/>
      <c r="L24" s="91"/>
      <c r="M24" s="91"/>
      <c r="N24" s="91"/>
      <c r="O24" s="91"/>
      <c r="P24" s="91"/>
      <c r="Q24" s="91"/>
      <c r="R24" s="91"/>
      <c r="S24" s="91"/>
      <c r="T24" s="91"/>
      <c r="U24" s="91"/>
      <c r="V24" s="91"/>
    </row>
    <row r="25" spans="1:22" ht="23.25" customHeight="1" outlineLevel="1">
      <c r="A25" s="91"/>
      <c r="B25" s="98"/>
      <c r="C25" s="102"/>
      <c r="D25" s="137" t="s">
        <v>22</v>
      </c>
      <c r="E25" s="138" t="s">
        <v>21</v>
      </c>
      <c r="F25" s="109"/>
      <c r="G25" s="121">
        <v>46083</v>
      </c>
      <c r="H25" s="121">
        <v>46112</v>
      </c>
      <c r="I25" s="121"/>
      <c r="J25" s="99"/>
      <c r="K25" s="91"/>
      <c r="L25" s="91"/>
      <c r="M25" s="91"/>
      <c r="N25" s="91"/>
      <c r="O25" s="91"/>
      <c r="P25" s="91"/>
      <c r="Q25" s="91"/>
      <c r="R25" s="91"/>
      <c r="S25" s="91"/>
      <c r="T25" s="91"/>
      <c r="U25" s="91"/>
      <c r="V25" s="91"/>
    </row>
    <row r="26" spans="1:22" ht="23.25" customHeight="1" outlineLevel="1">
      <c r="A26" s="91"/>
      <c r="B26" s="98"/>
      <c r="C26" s="102"/>
      <c r="D26" s="137" t="s">
        <v>23</v>
      </c>
      <c r="E26" s="138" t="s">
        <v>24</v>
      </c>
      <c r="F26" s="109"/>
      <c r="G26" s="121">
        <v>46083</v>
      </c>
      <c r="H26" s="121">
        <v>46142</v>
      </c>
      <c r="I26" s="121"/>
      <c r="J26" s="99"/>
      <c r="K26" s="91"/>
      <c r="L26" s="91"/>
      <c r="M26" s="91"/>
      <c r="N26" s="91"/>
      <c r="O26" s="91"/>
      <c r="P26" s="91"/>
      <c r="Q26" s="91"/>
      <c r="R26" s="91"/>
      <c r="S26" s="91"/>
      <c r="T26" s="91"/>
      <c r="U26" s="91"/>
      <c r="V26" s="91"/>
    </row>
    <row r="27" spans="1:22" ht="14.45" hidden="1" outlineLevel="1">
      <c r="A27" s="91"/>
      <c r="B27" s="98"/>
      <c r="C27" s="102"/>
      <c r="D27" s="139"/>
      <c r="E27" s="140"/>
      <c r="F27" s="109"/>
      <c r="G27" s="121"/>
      <c r="H27" s="121"/>
      <c r="I27" s="121"/>
      <c r="J27" s="99"/>
      <c r="K27" s="91"/>
      <c r="L27" s="91"/>
      <c r="M27" s="91"/>
      <c r="N27" s="91"/>
      <c r="O27" s="91"/>
      <c r="P27" s="91"/>
      <c r="Q27" s="91"/>
      <c r="R27" s="91"/>
      <c r="S27" s="91"/>
      <c r="T27" s="91"/>
      <c r="U27" s="91"/>
      <c r="V27" s="91"/>
    </row>
    <row r="28" spans="1:22" ht="14.45" hidden="1" outlineLevel="1">
      <c r="A28" s="91"/>
      <c r="B28" s="98"/>
      <c r="C28" s="102"/>
      <c r="D28" s="139"/>
      <c r="E28" s="140"/>
      <c r="F28" s="109"/>
      <c r="G28" s="121"/>
      <c r="H28" s="121"/>
      <c r="I28" s="121"/>
      <c r="J28" s="99"/>
      <c r="K28" s="91"/>
      <c r="L28" s="91"/>
      <c r="M28" s="91"/>
      <c r="N28" s="91"/>
      <c r="O28" s="91"/>
      <c r="P28" s="91"/>
      <c r="Q28" s="91"/>
      <c r="R28" s="91"/>
      <c r="S28" s="91"/>
      <c r="T28" s="91"/>
      <c r="U28" s="91"/>
      <c r="V28" s="91"/>
    </row>
    <row r="29" spans="1:22" ht="14.45" hidden="1" outlineLevel="1">
      <c r="A29" s="91"/>
      <c r="B29" s="98"/>
      <c r="C29" s="102"/>
      <c r="D29" s="139"/>
      <c r="E29" s="140"/>
      <c r="F29" s="109"/>
      <c r="G29" s="121"/>
      <c r="H29" s="121"/>
      <c r="I29" s="121"/>
      <c r="J29" s="99"/>
      <c r="K29" s="91"/>
      <c r="L29" s="91"/>
      <c r="M29" s="91"/>
      <c r="N29" s="91"/>
      <c r="O29" s="91"/>
      <c r="P29" s="91"/>
      <c r="Q29" s="91"/>
      <c r="R29" s="91"/>
      <c r="S29" s="91"/>
      <c r="T29" s="91"/>
      <c r="U29" s="91"/>
      <c r="V29" s="91"/>
    </row>
    <row r="30" spans="1:22" ht="14.45" hidden="1" outlineLevel="1">
      <c r="A30" s="91"/>
      <c r="B30" s="98"/>
      <c r="C30" s="102"/>
      <c r="D30" s="133"/>
      <c r="E30" s="109"/>
      <c r="F30" s="109"/>
      <c r="G30" s="121"/>
      <c r="H30" s="121"/>
      <c r="I30" s="121"/>
      <c r="J30" s="99"/>
      <c r="K30" s="91"/>
      <c r="L30" s="91"/>
      <c r="M30" s="91"/>
      <c r="N30" s="91"/>
      <c r="O30" s="91"/>
      <c r="P30" s="91"/>
      <c r="Q30" s="91"/>
      <c r="R30" s="91"/>
      <c r="S30" s="91"/>
      <c r="T30" s="91"/>
      <c r="U30" s="91"/>
      <c r="V30" s="91"/>
    </row>
    <row r="31" spans="1:22" ht="14.45" hidden="1" outlineLevel="1">
      <c r="A31" s="91"/>
      <c r="B31" s="98"/>
      <c r="C31" s="102"/>
      <c r="D31" s="108"/>
      <c r="E31" s="109"/>
      <c r="F31" s="109"/>
      <c r="G31" s="121"/>
      <c r="H31" s="121"/>
      <c r="I31" s="121"/>
      <c r="J31" s="99"/>
      <c r="K31" s="91"/>
      <c r="L31" s="91"/>
      <c r="M31" s="91"/>
      <c r="N31" s="91"/>
      <c r="O31" s="91"/>
      <c r="P31" s="91"/>
      <c r="Q31" s="91"/>
      <c r="R31" s="91"/>
      <c r="S31" s="91"/>
      <c r="T31" s="91"/>
      <c r="U31" s="91"/>
      <c r="V31" s="91"/>
    </row>
    <row r="32" spans="1:22" ht="14.45" hidden="1" outlineLevel="1">
      <c r="A32" s="91"/>
      <c r="B32" s="98"/>
      <c r="C32" s="102"/>
      <c r="D32" s="108"/>
      <c r="E32" s="109"/>
      <c r="F32" s="109"/>
      <c r="G32" s="121"/>
      <c r="H32" s="121"/>
      <c r="I32" s="121"/>
      <c r="J32" s="99"/>
      <c r="K32" s="91"/>
      <c r="L32" s="91"/>
      <c r="M32" s="91"/>
      <c r="N32" s="91"/>
      <c r="O32" s="91"/>
      <c r="P32" s="91"/>
      <c r="Q32" s="91"/>
      <c r="R32" s="91"/>
      <c r="S32" s="91"/>
      <c r="T32" s="91"/>
      <c r="U32" s="91"/>
      <c r="V32" s="91"/>
    </row>
    <row r="33" spans="1:22" ht="14.45" hidden="1" outlineLevel="1">
      <c r="A33" s="91"/>
      <c r="B33" s="98"/>
      <c r="C33" s="102"/>
      <c r="D33" s="108"/>
      <c r="E33" s="109"/>
      <c r="F33" s="109"/>
      <c r="G33" s="121"/>
      <c r="H33" s="121"/>
      <c r="I33" s="121"/>
      <c r="J33" s="99"/>
      <c r="K33" s="91"/>
      <c r="L33" s="91"/>
      <c r="M33" s="91"/>
      <c r="N33" s="91"/>
      <c r="O33" s="91"/>
      <c r="P33" s="91"/>
      <c r="Q33" s="91"/>
      <c r="R33" s="91"/>
      <c r="S33" s="91"/>
      <c r="T33" s="91"/>
      <c r="U33" s="91"/>
      <c r="V33" s="91"/>
    </row>
    <row r="34" spans="1:22" ht="14.45" hidden="1" outlineLevel="1">
      <c r="A34" s="91"/>
      <c r="B34" s="98"/>
      <c r="C34" s="102"/>
      <c r="D34" s="108"/>
      <c r="E34" s="109"/>
      <c r="F34" s="109"/>
      <c r="G34" s="121"/>
      <c r="H34" s="121"/>
      <c r="I34" s="121"/>
      <c r="J34" s="99"/>
      <c r="K34" s="91"/>
      <c r="L34" s="91"/>
      <c r="M34" s="91"/>
      <c r="N34" s="91"/>
      <c r="O34" s="91"/>
      <c r="P34" s="91"/>
      <c r="Q34" s="91"/>
      <c r="R34" s="91"/>
      <c r="S34" s="91"/>
      <c r="T34" s="91"/>
      <c r="U34" s="91"/>
      <c r="V34" s="91"/>
    </row>
    <row r="35" spans="1:22" ht="14.45" hidden="1" outlineLevel="1">
      <c r="A35" s="91"/>
      <c r="B35" s="98"/>
      <c r="C35" s="102"/>
      <c r="D35" s="108"/>
      <c r="E35" s="109"/>
      <c r="F35" s="109"/>
      <c r="G35" s="121"/>
      <c r="H35" s="121"/>
      <c r="I35" s="121"/>
      <c r="J35" s="99"/>
      <c r="K35" s="91"/>
      <c r="L35" s="91"/>
      <c r="M35" s="91"/>
      <c r="N35" s="91"/>
      <c r="O35" s="91"/>
      <c r="P35" s="91"/>
      <c r="Q35" s="91"/>
      <c r="R35" s="91"/>
      <c r="S35" s="91"/>
      <c r="T35" s="91"/>
      <c r="U35" s="91"/>
      <c r="V35" s="91"/>
    </row>
    <row r="36" spans="1:22" ht="4.5" customHeight="1" outlineLevel="1">
      <c r="A36" s="91"/>
      <c r="B36" s="98"/>
      <c r="C36" s="102"/>
      <c r="D36" s="102"/>
      <c r="E36" s="102"/>
      <c r="F36" s="102"/>
      <c r="G36" s="102"/>
      <c r="H36" s="102"/>
      <c r="I36" s="102"/>
      <c r="J36" s="99"/>
      <c r="K36" s="91"/>
      <c r="L36" s="91"/>
      <c r="M36" s="91"/>
      <c r="N36" s="91"/>
      <c r="O36" s="91"/>
      <c r="P36" s="91"/>
      <c r="Q36" s="91"/>
      <c r="R36" s="91"/>
      <c r="S36" s="91"/>
      <c r="T36" s="91"/>
      <c r="U36" s="91"/>
      <c r="V36" s="91"/>
    </row>
    <row r="37" spans="1:22" ht="82.5" customHeight="1">
      <c r="A37" s="91"/>
      <c r="B37" s="98"/>
      <c r="C37" s="205" t="s">
        <v>25</v>
      </c>
      <c r="D37" s="239" t="s">
        <v>26</v>
      </c>
      <c r="E37" s="240"/>
      <c r="F37" s="241" t="s">
        <v>27</v>
      </c>
      <c r="G37" s="242"/>
      <c r="H37" s="242"/>
      <c r="I37" s="242"/>
      <c r="J37" s="99"/>
      <c r="K37" s="91"/>
      <c r="L37" s="91"/>
      <c r="M37" s="91"/>
      <c r="N37" s="91"/>
      <c r="O37" s="91"/>
      <c r="P37" s="91"/>
      <c r="Q37" s="91"/>
      <c r="R37" s="91"/>
      <c r="S37" s="91"/>
      <c r="T37" s="91"/>
      <c r="U37" s="91"/>
      <c r="V37" s="91"/>
    </row>
    <row r="38" spans="1:22" ht="4.5" customHeight="1" outlineLevel="1">
      <c r="A38" s="91"/>
      <c r="B38" s="98"/>
      <c r="C38" s="102"/>
      <c r="D38" s="102"/>
      <c r="E38" s="102"/>
      <c r="F38" s="102"/>
      <c r="G38" s="102"/>
      <c r="H38" s="102"/>
      <c r="I38" s="102"/>
      <c r="J38" s="99"/>
      <c r="K38" s="91"/>
      <c r="L38" s="91"/>
      <c r="M38" s="91"/>
      <c r="N38" s="91"/>
      <c r="O38" s="91"/>
      <c r="P38" s="91"/>
      <c r="Q38" s="91"/>
      <c r="R38" s="91"/>
      <c r="S38" s="91"/>
      <c r="T38" s="91"/>
      <c r="U38" s="91"/>
      <c r="V38" s="91"/>
    </row>
    <row r="39" spans="1:22" ht="33.6" customHeight="1" outlineLevel="1">
      <c r="A39" s="91"/>
      <c r="B39" s="98"/>
      <c r="C39" s="105"/>
      <c r="D39" s="106" t="s">
        <v>12</v>
      </c>
      <c r="E39" s="107" t="s">
        <v>13</v>
      </c>
      <c r="F39" s="110" t="s">
        <v>14</v>
      </c>
      <c r="G39" s="110" t="s">
        <v>15</v>
      </c>
      <c r="H39" s="110" t="s">
        <v>16</v>
      </c>
      <c r="I39" s="110" t="s">
        <v>17</v>
      </c>
      <c r="J39" s="99"/>
      <c r="K39" s="91"/>
      <c r="L39" s="91"/>
      <c r="M39" s="91"/>
      <c r="N39" s="91"/>
      <c r="O39" s="91"/>
      <c r="P39" s="91"/>
      <c r="Q39" s="91"/>
      <c r="R39" s="91"/>
      <c r="S39" s="91"/>
      <c r="T39" s="91"/>
      <c r="U39" s="91"/>
      <c r="V39" s="91"/>
    </row>
    <row r="40" spans="1:22" ht="20.25" customHeight="1" outlineLevel="1">
      <c r="A40" s="162"/>
      <c r="B40" s="161"/>
      <c r="C40" s="160"/>
      <c r="D40" s="154" t="s">
        <v>28</v>
      </c>
      <c r="E40" s="159" t="s">
        <v>29</v>
      </c>
      <c r="F40" s="158"/>
      <c r="G40" s="121">
        <v>46055</v>
      </c>
      <c r="H40" s="157">
        <v>46142</v>
      </c>
      <c r="I40" s="156"/>
      <c r="J40" s="155"/>
      <c r="K40" s="162"/>
      <c r="L40" s="162"/>
      <c r="M40" s="162"/>
      <c r="N40" s="162"/>
      <c r="O40" s="162"/>
      <c r="P40" s="162"/>
      <c r="Q40" s="162"/>
      <c r="R40" s="162"/>
      <c r="S40" s="162"/>
      <c r="T40" s="162"/>
      <c r="U40" s="162"/>
      <c r="V40" s="162"/>
    </row>
    <row r="41" spans="1:22" ht="31.5" customHeight="1" outlineLevel="1">
      <c r="A41" s="162"/>
      <c r="B41" s="161"/>
      <c r="C41" s="160"/>
      <c r="D41" s="108" t="s">
        <v>30</v>
      </c>
      <c r="E41" s="159" t="s">
        <v>29</v>
      </c>
      <c r="F41" s="158"/>
      <c r="G41" s="121">
        <v>46055</v>
      </c>
      <c r="H41" s="157">
        <v>46142</v>
      </c>
      <c r="I41" s="156"/>
      <c r="J41" s="155"/>
      <c r="K41" s="162"/>
      <c r="L41" s="162"/>
      <c r="M41" s="162"/>
      <c r="N41" s="162"/>
      <c r="O41" s="162"/>
      <c r="P41" s="162"/>
      <c r="Q41" s="162"/>
      <c r="R41" s="162"/>
      <c r="S41" s="162"/>
      <c r="T41" s="162"/>
      <c r="U41" s="162"/>
      <c r="V41" s="162"/>
    </row>
    <row r="42" spans="1:22" ht="31.5" customHeight="1" outlineLevel="1">
      <c r="A42" s="162"/>
      <c r="B42" s="161"/>
      <c r="C42" s="160"/>
      <c r="D42" s="108" t="s">
        <v>31</v>
      </c>
      <c r="E42" s="159" t="s">
        <v>29</v>
      </c>
      <c r="F42" s="163"/>
      <c r="G42" s="121">
        <v>46055</v>
      </c>
      <c r="H42" s="157">
        <v>46142</v>
      </c>
      <c r="I42" s="156"/>
      <c r="J42" s="155"/>
      <c r="K42" s="162"/>
      <c r="L42" s="162"/>
      <c r="M42" s="162"/>
      <c r="N42" s="162"/>
      <c r="O42" s="162"/>
      <c r="P42" s="162"/>
      <c r="Q42" s="162"/>
      <c r="R42" s="162"/>
      <c r="S42" s="162"/>
      <c r="T42" s="162"/>
      <c r="U42" s="162"/>
      <c r="V42" s="162"/>
    </row>
    <row r="43" spans="1:22" ht="19.5" customHeight="1" outlineLevel="1">
      <c r="A43" s="91"/>
      <c r="B43" s="98"/>
      <c r="C43" s="102"/>
      <c r="D43" s="108" t="s">
        <v>32</v>
      </c>
      <c r="E43" s="134" t="s">
        <v>29</v>
      </c>
      <c r="F43" s="112"/>
      <c r="G43" s="157">
        <v>46054</v>
      </c>
      <c r="H43" s="157">
        <v>46142</v>
      </c>
      <c r="I43" s="122"/>
      <c r="J43" s="99"/>
      <c r="K43" s="91"/>
      <c r="L43" s="91"/>
      <c r="M43" s="91"/>
      <c r="N43" s="91"/>
      <c r="O43" s="91"/>
      <c r="P43" s="91"/>
      <c r="Q43" s="91"/>
      <c r="R43" s="91"/>
      <c r="S43" s="91"/>
      <c r="T43" s="91"/>
      <c r="U43" s="91"/>
      <c r="V43" s="91"/>
    </row>
    <row r="44" spans="1:22" ht="19.5" customHeight="1" outlineLevel="1">
      <c r="A44" s="91"/>
      <c r="B44" s="98"/>
      <c r="C44" s="102"/>
      <c r="D44" s="108" t="s">
        <v>33</v>
      </c>
      <c r="E44" s="134" t="s">
        <v>29</v>
      </c>
      <c r="F44" s="112"/>
      <c r="G44" s="157">
        <v>46113</v>
      </c>
      <c r="H44" s="157">
        <v>46173</v>
      </c>
      <c r="I44" s="122"/>
      <c r="J44" s="99"/>
      <c r="K44" s="91"/>
      <c r="L44" s="91"/>
      <c r="M44" s="91"/>
      <c r="N44" s="91"/>
      <c r="O44" s="91"/>
      <c r="P44" s="91"/>
      <c r="Q44" s="91"/>
      <c r="R44" s="91"/>
      <c r="S44" s="91"/>
      <c r="T44" s="91"/>
      <c r="U44" s="91"/>
      <c r="V44" s="91"/>
    </row>
    <row r="45" spans="1:22" ht="19.5" customHeight="1" outlineLevel="1">
      <c r="A45" s="91"/>
      <c r="B45" s="98"/>
      <c r="C45" s="102"/>
      <c r="D45" s="108" t="s">
        <v>34</v>
      </c>
      <c r="E45" s="159" t="s">
        <v>29</v>
      </c>
      <c r="F45" s="112"/>
      <c r="G45" s="157">
        <v>46113</v>
      </c>
      <c r="H45" s="157">
        <v>46173</v>
      </c>
      <c r="I45" s="122"/>
      <c r="J45" s="99"/>
      <c r="K45" s="91"/>
      <c r="L45" s="91"/>
      <c r="M45" s="91"/>
      <c r="N45" s="91"/>
      <c r="O45" s="91"/>
      <c r="P45" s="91"/>
      <c r="Q45" s="91"/>
      <c r="R45" s="91"/>
      <c r="S45" s="91"/>
      <c r="T45" s="91"/>
      <c r="U45" s="91"/>
      <c r="V45" s="91"/>
    </row>
    <row r="46" spans="1:22" ht="19.5" customHeight="1" outlineLevel="1">
      <c r="A46" s="91"/>
      <c r="B46" s="98"/>
      <c r="C46" s="102"/>
      <c r="D46" s="108" t="s">
        <v>35</v>
      </c>
      <c r="E46" s="159" t="s">
        <v>29</v>
      </c>
      <c r="F46" s="112"/>
      <c r="G46" s="157">
        <v>46113</v>
      </c>
      <c r="H46" s="157">
        <v>46173</v>
      </c>
      <c r="I46" s="122"/>
      <c r="J46" s="99"/>
      <c r="K46" s="91"/>
      <c r="L46" s="91"/>
      <c r="M46" s="91"/>
      <c r="N46" s="91"/>
      <c r="O46" s="91"/>
      <c r="P46" s="91"/>
      <c r="Q46" s="91"/>
      <c r="R46" s="91"/>
      <c r="S46" s="91"/>
      <c r="T46" s="91"/>
      <c r="U46" s="91"/>
      <c r="V46" s="91"/>
    </row>
    <row r="47" spans="1:22" ht="19.5" customHeight="1" outlineLevel="1">
      <c r="A47" s="91"/>
      <c r="B47" s="98"/>
      <c r="C47" s="102"/>
      <c r="D47" s="108" t="s">
        <v>36</v>
      </c>
      <c r="E47" s="134" t="s">
        <v>29</v>
      </c>
      <c r="F47" s="112"/>
      <c r="G47" s="157">
        <v>46113</v>
      </c>
      <c r="H47" s="157">
        <v>46203</v>
      </c>
      <c r="I47" s="122"/>
      <c r="J47" s="99"/>
      <c r="K47" s="91"/>
      <c r="L47" s="91"/>
      <c r="M47" s="91"/>
      <c r="N47" s="91"/>
      <c r="O47" s="91"/>
      <c r="P47" s="91"/>
      <c r="Q47" s="91"/>
      <c r="R47" s="91"/>
      <c r="S47" s="91"/>
      <c r="T47" s="91"/>
      <c r="U47" s="91"/>
      <c r="V47" s="91"/>
    </row>
    <row r="48" spans="1:22" ht="19.5" customHeight="1" outlineLevel="1">
      <c r="A48" s="91"/>
      <c r="B48" s="98"/>
      <c r="C48" s="102"/>
      <c r="D48" s="108" t="s">
        <v>37</v>
      </c>
      <c r="E48" s="159" t="s">
        <v>29</v>
      </c>
      <c r="F48" s="112"/>
      <c r="G48" s="157">
        <v>46113</v>
      </c>
      <c r="H48" s="157">
        <v>46387</v>
      </c>
      <c r="I48" s="122"/>
      <c r="J48" s="99"/>
      <c r="K48" s="91"/>
      <c r="L48" s="91"/>
      <c r="M48" s="91"/>
      <c r="N48" s="91"/>
      <c r="O48" s="91"/>
      <c r="P48" s="91"/>
      <c r="Q48" s="91"/>
      <c r="R48" s="91"/>
      <c r="S48" s="91"/>
      <c r="T48" s="91"/>
      <c r="U48" s="91"/>
      <c r="V48" s="91"/>
    </row>
    <row r="49" spans="1:22" ht="19.5" customHeight="1" outlineLevel="1">
      <c r="A49" s="91"/>
      <c r="B49" s="98"/>
      <c r="C49" s="102"/>
      <c r="D49" s="108" t="s">
        <v>38</v>
      </c>
      <c r="E49" s="159" t="s">
        <v>29</v>
      </c>
      <c r="F49" s="112"/>
      <c r="G49" s="157">
        <v>46327</v>
      </c>
      <c r="H49" s="157">
        <v>46356</v>
      </c>
      <c r="I49" s="122"/>
      <c r="J49" s="99"/>
      <c r="K49" s="91"/>
      <c r="L49" s="91"/>
      <c r="M49" s="91"/>
      <c r="N49" s="91"/>
      <c r="O49" s="91"/>
      <c r="P49" s="91"/>
      <c r="Q49" s="91"/>
      <c r="R49" s="91"/>
      <c r="S49" s="91"/>
      <c r="T49" s="91"/>
      <c r="U49" s="91"/>
      <c r="V49" s="91"/>
    </row>
    <row r="50" spans="1:22" hidden="1" outlineLevel="1">
      <c r="A50" s="91"/>
      <c r="B50" s="98"/>
      <c r="C50" s="102"/>
      <c r="D50" s="108"/>
      <c r="E50" s="159"/>
      <c r="F50" s="112"/>
      <c r="G50" s="157"/>
      <c r="H50" s="157"/>
      <c r="I50" s="122"/>
      <c r="J50" s="99"/>
      <c r="K50" s="91"/>
      <c r="L50" s="91"/>
      <c r="M50" s="91"/>
      <c r="N50" s="91"/>
      <c r="O50" s="91"/>
      <c r="P50" s="91"/>
      <c r="Q50" s="91"/>
      <c r="R50" s="91"/>
      <c r="S50" s="91"/>
      <c r="T50" s="91"/>
      <c r="U50" s="91"/>
      <c r="V50" s="91"/>
    </row>
    <row r="51" spans="1:22" ht="14.45" hidden="1" outlineLevel="1">
      <c r="A51" s="91"/>
      <c r="B51" s="98"/>
      <c r="C51" s="102"/>
      <c r="D51" s="108"/>
      <c r="E51" s="111"/>
      <c r="F51" s="112"/>
      <c r="G51" s="122"/>
      <c r="H51" s="122"/>
      <c r="I51" s="122"/>
      <c r="J51" s="99"/>
      <c r="K51" s="91"/>
      <c r="L51" s="91"/>
      <c r="M51" s="91"/>
      <c r="N51" s="91"/>
      <c r="O51" s="91"/>
      <c r="P51" s="91"/>
      <c r="Q51" s="91"/>
      <c r="R51" s="91"/>
      <c r="S51" s="91"/>
      <c r="T51" s="91"/>
      <c r="U51" s="91"/>
      <c r="V51" s="91"/>
    </row>
    <row r="52" spans="1:22" ht="14.45" hidden="1" outlineLevel="1">
      <c r="A52" s="91"/>
      <c r="B52" s="98"/>
      <c r="C52" s="102"/>
      <c r="D52" s="108"/>
      <c r="E52" s="111"/>
      <c r="F52" s="112"/>
      <c r="G52" s="122"/>
      <c r="H52" s="122"/>
      <c r="I52" s="122"/>
      <c r="J52" s="99"/>
      <c r="K52" s="91"/>
      <c r="L52" s="91"/>
      <c r="M52" s="91"/>
      <c r="N52" s="91"/>
      <c r="O52" s="91"/>
      <c r="P52" s="91"/>
      <c r="Q52" s="91"/>
      <c r="R52" s="91"/>
      <c r="S52" s="91"/>
      <c r="T52" s="91"/>
      <c r="U52" s="91"/>
      <c r="V52" s="91"/>
    </row>
    <row r="53" spans="1:22" ht="14.45" hidden="1" outlineLevel="1">
      <c r="A53" s="91"/>
      <c r="B53" s="98"/>
      <c r="C53" s="102"/>
      <c r="D53" s="108"/>
      <c r="E53" s="111"/>
      <c r="F53" s="112"/>
      <c r="G53" s="122"/>
      <c r="H53" s="122"/>
      <c r="I53" s="122"/>
      <c r="J53" s="99"/>
      <c r="K53" s="91"/>
      <c r="L53" s="91"/>
      <c r="M53" s="91"/>
      <c r="N53" s="91"/>
      <c r="O53" s="91"/>
      <c r="P53" s="91"/>
      <c r="Q53" s="91"/>
      <c r="R53" s="91"/>
      <c r="S53" s="91"/>
      <c r="T53" s="91"/>
      <c r="U53" s="91"/>
      <c r="V53" s="91"/>
    </row>
    <row r="54" spans="1:22" ht="14.45" hidden="1" outlineLevel="1">
      <c r="A54" s="91"/>
      <c r="B54" s="98"/>
      <c r="C54" s="102"/>
      <c r="D54" s="108"/>
      <c r="E54" s="111"/>
      <c r="F54" s="112"/>
      <c r="G54" s="122"/>
      <c r="H54" s="122"/>
      <c r="I54" s="122"/>
      <c r="J54" s="99"/>
      <c r="K54" s="91"/>
      <c r="L54" s="91"/>
      <c r="M54" s="91"/>
      <c r="N54" s="91"/>
      <c r="O54" s="91"/>
      <c r="P54" s="91"/>
      <c r="Q54" s="91"/>
      <c r="R54" s="91"/>
      <c r="S54" s="91"/>
      <c r="T54" s="91"/>
      <c r="U54" s="91"/>
      <c r="V54" s="91"/>
    </row>
    <row r="55" spans="1:22" ht="4.5" customHeight="1" outlineLevel="1">
      <c r="A55" s="91"/>
      <c r="B55" s="98"/>
      <c r="C55" s="102"/>
      <c r="D55" s="102"/>
      <c r="E55" s="102"/>
      <c r="F55" s="102"/>
      <c r="G55" s="102"/>
      <c r="H55" s="102"/>
      <c r="I55" s="102"/>
      <c r="J55" s="99"/>
      <c r="K55" s="91"/>
      <c r="L55" s="91"/>
      <c r="M55" s="91"/>
      <c r="N55" s="91"/>
      <c r="O55" s="91"/>
      <c r="P55" s="91"/>
      <c r="Q55" s="91"/>
      <c r="R55" s="91"/>
      <c r="S55" s="91"/>
      <c r="T55" s="91"/>
      <c r="U55" s="91"/>
      <c r="V55" s="91"/>
    </row>
    <row r="56" spans="1:22" ht="78.95" customHeight="1">
      <c r="A56" s="91"/>
      <c r="B56" s="98"/>
      <c r="C56" s="205" t="s">
        <v>39</v>
      </c>
      <c r="D56" s="239" t="s">
        <v>40</v>
      </c>
      <c r="E56" s="240"/>
      <c r="F56" s="241" t="s">
        <v>41</v>
      </c>
      <c r="G56" s="242"/>
      <c r="H56" s="242"/>
      <c r="I56" s="242"/>
      <c r="J56" s="99"/>
      <c r="K56" s="91"/>
      <c r="L56" s="91"/>
      <c r="M56" s="91"/>
      <c r="N56" s="91"/>
      <c r="O56" s="91"/>
      <c r="P56" s="91"/>
      <c r="Q56" s="91"/>
      <c r="R56" s="91"/>
      <c r="S56" s="91"/>
      <c r="T56" s="91"/>
      <c r="U56" s="91"/>
      <c r="V56" s="91"/>
    </row>
    <row r="57" spans="1:22" ht="4.5" customHeight="1" outlineLevel="1">
      <c r="A57" s="91"/>
      <c r="B57" s="98"/>
      <c r="C57" s="102"/>
      <c r="D57" s="102"/>
      <c r="E57" s="102"/>
      <c r="F57" s="103"/>
      <c r="G57" s="103"/>
      <c r="H57" s="103"/>
      <c r="I57" s="103"/>
      <c r="J57" s="99"/>
      <c r="K57" s="91"/>
      <c r="L57" s="91"/>
      <c r="M57" s="91"/>
      <c r="N57" s="91"/>
      <c r="O57" s="91"/>
      <c r="P57" s="91"/>
      <c r="Q57" s="91"/>
      <c r="R57" s="91"/>
      <c r="S57" s="91"/>
      <c r="T57" s="91"/>
      <c r="U57" s="91"/>
      <c r="V57" s="91"/>
    </row>
    <row r="58" spans="1:22" ht="34.5" customHeight="1" outlineLevel="1">
      <c r="A58" s="91"/>
      <c r="B58" s="98"/>
      <c r="C58" s="105"/>
      <c r="D58" s="106" t="s">
        <v>12</v>
      </c>
      <c r="E58" s="110" t="s">
        <v>13</v>
      </c>
      <c r="F58" s="110" t="s">
        <v>14</v>
      </c>
      <c r="G58" s="110" t="s">
        <v>15</v>
      </c>
      <c r="H58" s="110" t="s">
        <v>16</v>
      </c>
      <c r="I58" s="110" t="s">
        <v>17</v>
      </c>
      <c r="J58" s="99"/>
      <c r="K58" s="91"/>
      <c r="L58" s="91"/>
      <c r="M58" s="91"/>
      <c r="N58" s="91"/>
      <c r="O58" s="91"/>
      <c r="P58" s="91"/>
      <c r="Q58" s="91"/>
      <c r="R58" s="91"/>
      <c r="S58" s="91"/>
      <c r="T58" s="91"/>
      <c r="U58" s="91"/>
      <c r="V58" s="91"/>
    </row>
    <row r="59" spans="1:22" ht="40.5" customHeight="1" outlineLevel="1">
      <c r="A59" s="91"/>
      <c r="B59" s="98"/>
      <c r="C59" s="102"/>
      <c r="D59" s="164" t="s">
        <v>42</v>
      </c>
      <c r="E59" s="159" t="s">
        <v>43</v>
      </c>
      <c r="F59" s="114"/>
      <c r="G59" s="123">
        <v>46113</v>
      </c>
      <c r="H59" s="123">
        <v>46173</v>
      </c>
      <c r="I59" s="123"/>
      <c r="J59" s="99"/>
      <c r="K59" s="91"/>
      <c r="L59" s="91"/>
      <c r="M59" s="91"/>
      <c r="N59" s="91"/>
      <c r="O59" s="91"/>
      <c r="P59" s="91"/>
      <c r="Q59" s="91"/>
      <c r="R59" s="91"/>
      <c r="S59" s="91"/>
      <c r="T59" s="91"/>
      <c r="U59" s="91"/>
      <c r="V59" s="91"/>
    </row>
    <row r="60" spans="1:22" ht="67.5" customHeight="1" outlineLevel="1">
      <c r="A60" s="91"/>
      <c r="B60" s="98"/>
      <c r="C60" s="102"/>
      <c r="D60" s="164" t="s">
        <v>44</v>
      </c>
      <c r="E60" s="159" t="s">
        <v>45</v>
      </c>
      <c r="F60" s="114"/>
      <c r="G60" s="123">
        <v>46143</v>
      </c>
      <c r="H60" s="123">
        <v>46234</v>
      </c>
      <c r="I60" s="123"/>
      <c r="J60" s="99"/>
      <c r="K60" s="91"/>
      <c r="L60" s="91"/>
      <c r="M60" s="91"/>
      <c r="N60" s="91"/>
      <c r="O60" s="91"/>
      <c r="P60" s="91"/>
      <c r="Q60" s="91"/>
      <c r="R60" s="91"/>
      <c r="S60" s="91"/>
      <c r="T60" s="91"/>
      <c r="U60" s="91"/>
      <c r="V60" s="91"/>
    </row>
    <row r="61" spans="1:22" ht="21" customHeight="1" outlineLevel="1">
      <c r="A61" s="91"/>
      <c r="B61" s="98"/>
      <c r="C61" s="102"/>
      <c r="D61" s="164" t="s">
        <v>46</v>
      </c>
      <c r="E61" s="159" t="s">
        <v>29</v>
      </c>
      <c r="F61" s="114"/>
      <c r="G61" s="123">
        <v>46235</v>
      </c>
      <c r="H61" s="123">
        <v>46265</v>
      </c>
      <c r="I61" s="123"/>
      <c r="J61" s="99"/>
      <c r="K61" s="91"/>
      <c r="L61" s="91"/>
      <c r="M61" s="91"/>
      <c r="N61" s="91"/>
      <c r="O61" s="91"/>
      <c r="P61" s="91"/>
      <c r="Q61" s="91"/>
      <c r="R61" s="91"/>
      <c r="S61" s="91"/>
      <c r="T61" s="91"/>
      <c r="U61" s="91"/>
      <c r="V61" s="91"/>
    </row>
    <row r="62" spans="1:22" ht="21" customHeight="1" outlineLevel="1">
      <c r="A62" s="91"/>
      <c r="B62" s="98"/>
      <c r="C62" s="102"/>
      <c r="D62" s="164" t="s">
        <v>47</v>
      </c>
      <c r="E62" s="159" t="s">
        <v>29</v>
      </c>
      <c r="F62" s="114"/>
      <c r="G62" s="123">
        <v>46235</v>
      </c>
      <c r="H62" s="123">
        <v>46325</v>
      </c>
      <c r="I62" s="123"/>
      <c r="J62" s="99"/>
      <c r="K62" s="91"/>
      <c r="L62" s="91"/>
      <c r="M62" s="91"/>
      <c r="N62" s="91"/>
      <c r="O62" s="91"/>
      <c r="P62" s="91"/>
      <c r="Q62" s="91"/>
      <c r="R62" s="91"/>
      <c r="S62" s="91"/>
      <c r="T62" s="91"/>
      <c r="U62" s="91"/>
      <c r="V62" s="91"/>
    </row>
    <row r="63" spans="1:22" hidden="1" outlineLevel="1">
      <c r="A63" s="91"/>
      <c r="B63" s="98"/>
      <c r="C63" s="102"/>
      <c r="D63" s="133"/>
      <c r="E63" s="113"/>
      <c r="F63" s="114"/>
      <c r="G63" s="123"/>
      <c r="H63" s="123"/>
      <c r="I63" s="123"/>
      <c r="J63" s="99"/>
      <c r="K63" s="91"/>
      <c r="L63" s="91"/>
      <c r="M63" s="91"/>
      <c r="N63" s="91"/>
      <c r="O63" s="91"/>
      <c r="P63" s="91"/>
      <c r="Q63" s="91"/>
      <c r="R63" s="91"/>
      <c r="S63" s="91"/>
      <c r="T63" s="91"/>
      <c r="U63" s="91"/>
      <c r="V63" s="91"/>
    </row>
    <row r="64" spans="1:22" ht="14.45" hidden="1" outlineLevel="1">
      <c r="A64" s="91"/>
      <c r="B64" s="98"/>
      <c r="C64" s="102"/>
      <c r="D64" s="108"/>
      <c r="E64" s="113"/>
      <c r="F64" s="114"/>
      <c r="G64" s="123"/>
      <c r="H64" s="123"/>
      <c r="I64" s="123"/>
      <c r="J64" s="99"/>
      <c r="K64" s="91"/>
      <c r="L64" s="91"/>
      <c r="M64" s="91"/>
      <c r="N64" s="91"/>
      <c r="O64" s="91"/>
      <c r="P64" s="91"/>
      <c r="Q64" s="91"/>
      <c r="R64" s="91"/>
      <c r="S64" s="91"/>
      <c r="T64" s="91"/>
      <c r="U64" s="91"/>
      <c r="V64" s="91"/>
    </row>
    <row r="65" spans="1:22" ht="14.45" hidden="1" outlineLevel="1">
      <c r="A65" s="91"/>
      <c r="B65" s="98"/>
      <c r="C65" s="102"/>
      <c r="D65" s="108"/>
      <c r="E65" s="113"/>
      <c r="F65" s="114"/>
      <c r="G65" s="123"/>
      <c r="H65" s="123"/>
      <c r="I65" s="123"/>
      <c r="J65" s="99"/>
      <c r="K65" s="91"/>
      <c r="L65" s="91"/>
      <c r="M65" s="91"/>
      <c r="N65" s="91"/>
      <c r="O65" s="91"/>
      <c r="P65" s="91"/>
      <c r="Q65" s="91"/>
      <c r="R65" s="91"/>
      <c r="S65" s="91"/>
      <c r="T65" s="91"/>
      <c r="U65" s="91"/>
      <c r="V65" s="91"/>
    </row>
    <row r="66" spans="1:22" ht="14.45" hidden="1" outlineLevel="1">
      <c r="A66" s="91"/>
      <c r="B66" s="98"/>
      <c r="C66" s="102"/>
      <c r="D66" s="108"/>
      <c r="E66" s="113"/>
      <c r="F66" s="114"/>
      <c r="G66" s="123"/>
      <c r="H66" s="123"/>
      <c r="I66" s="123"/>
      <c r="J66" s="99"/>
      <c r="K66" s="91"/>
      <c r="L66" s="91"/>
      <c r="M66" s="91"/>
      <c r="N66" s="91"/>
      <c r="O66" s="91"/>
      <c r="P66" s="91"/>
      <c r="Q66" s="91"/>
      <c r="R66" s="91"/>
      <c r="S66" s="91"/>
      <c r="T66" s="91"/>
      <c r="U66" s="91"/>
      <c r="V66" s="91"/>
    </row>
    <row r="67" spans="1:22" ht="14.45" hidden="1" outlineLevel="1">
      <c r="A67" s="91"/>
      <c r="B67" s="98"/>
      <c r="C67" s="102"/>
      <c r="D67" s="108"/>
      <c r="E67" s="113"/>
      <c r="F67" s="114"/>
      <c r="G67" s="123"/>
      <c r="H67" s="123"/>
      <c r="I67" s="123"/>
      <c r="J67" s="99"/>
      <c r="K67" s="91"/>
      <c r="L67" s="91"/>
      <c r="M67" s="91"/>
      <c r="N67" s="91"/>
      <c r="O67" s="91"/>
      <c r="P67" s="91"/>
      <c r="Q67" s="91"/>
      <c r="R67" s="91"/>
      <c r="S67" s="91"/>
      <c r="T67" s="91"/>
      <c r="U67" s="91"/>
      <c r="V67" s="91"/>
    </row>
    <row r="68" spans="1:22" ht="14.45" hidden="1" outlineLevel="1">
      <c r="A68" s="91"/>
      <c r="B68" s="98"/>
      <c r="C68" s="102"/>
      <c r="D68" s="108"/>
      <c r="E68" s="113"/>
      <c r="F68" s="114"/>
      <c r="G68" s="123"/>
      <c r="H68" s="123"/>
      <c r="I68" s="123"/>
      <c r="J68" s="99"/>
      <c r="K68" s="91"/>
      <c r="L68" s="91"/>
      <c r="M68" s="91"/>
      <c r="N68" s="91"/>
      <c r="O68" s="91"/>
      <c r="P68" s="91"/>
      <c r="Q68" s="91"/>
      <c r="R68" s="91"/>
      <c r="S68" s="91"/>
      <c r="T68" s="91"/>
      <c r="U68" s="91"/>
      <c r="V68" s="91"/>
    </row>
    <row r="69" spans="1:22" ht="14.45" hidden="1" outlineLevel="1">
      <c r="A69" s="91"/>
      <c r="B69" s="98"/>
      <c r="C69" s="102"/>
      <c r="D69" s="108"/>
      <c r="E69" s="113"/>
      <c r="F69" s="114"/>
      <c r="G69" s="123"/>
      <c r="H69" s="123"/>
      <c r="I69" s="123"/>
      <c r="J69" s="99"/>
      <c r="K69" s="91"/>
      <c r="L69" s="91"/>
      <c r="M69" s="91"/>
      <c r="N69" s="91"/>
      <c r="O69" s="91"/>
      <c r="P69" s="91"/>
      <c r="Q69" s="91"/>
      <c r="R69" s="91"/>
      <c r="S69" s="91"/>
      <c r="T69" s="91"/>
      <c r="U69" s="91"/>
      <c r="V69" s="91"/>
    </row>
    <row r="70" spans="1:22" ht="14.45" hidden="1" outlineLevel="1">
      <c r="A70" s="91"/>
      <c r="B70" s="98"/>
      <c r="C70" s="102"/>
      <c r="D70" s="108"/>
      <c r="E70" s="113"/>
      <c r="F70" s="114"/>
      <c r="G70" s="123"/>
      <c r="H70" s="123"/>
      <c r="I70" s="123"/>
      <c r="J70" s="99"/>
      <c r="K70" s="91"/>
      <c r="L70" s="91"/>
      <c r="M70" s="91"/>
      <c r="N70" s="91"/>
      <c r="O70" s="91"/>
      <c r="P70" s="91"/>
      <c r="Q70" s="91"/>
      <c r="R70" s="91"/>
      <c r="S70" s="91"/>
      <c r="T70" s="91"/>
      <c r="U70" s="91"/>
      <c r="V70" s="91"/>
    </row>
    <row r="71" spans="1:22" ht="4.5" customHeight="1" outlineLevel="1">
      <c r="A71" s="91"/>
      <c r="B71" s="98"/>
      <c r="C71" s="102"/>
      <c r="D71" s="102"/>
      <c r="E71" s="102"/>
      <c r="F71" s="103"/>
      <c r="G71" s="103"/>
      <c r="H71" s="103"/>
      <c r="I71" s="103"/>
      <c r="J71" s="99"/>
      <c r="K71" s="91"/>
      <c r="L71" s="91"/>
      <c r="M71" s="91"/>
      <c r="N71" s="91"/>
      <c r="O71" s="91"/>
      <c r="P71" s="91"/>
      <c r="Q71" s="91"/>
      <c r="R71" s="91"/>
      <c r="S71" s="91"/>
      <c r="T71" s="91"/>
      <c r="U71" s="91"/>
      <c r="V71" s="91"/>
    </row>
    <row r="72" spans="1:22" ht="12" customHeight="1">
      <c r="A72" s="91"/>
      <c r="B72" s="98"/>
      <c r="C72" s="115"/>
      <c r="D72" s="115"/>
      <c r="E72" s="115"/>
      <c r="F72" s="116"/>
      <c r="G72" s="116"/>
      <c r="H72" s="116"/>
      <c r="I72" s="116"/>
      <c r="J72" s="99"/>
      <c r="K72" s="91"/>
      <c r="L72" s="91"/>
      <c r="M72" s="91"/>
      <c r="N72" s="91"/>
      <c r="O72" s="91"/>
      <c r="P72" s="91"/>
      <c r="Q72" s="91"/>
      <c r="R72" s="91"/>
      <c r="S72" s="91"/>
      <c r="T72" s="91"/>
      <c r="U72" s="91"/>
      <c r="V72" s="91"/>
    </row>
    <row r="73" spans="1:22" ht="12" customHeight="1">
      <c r="A73" s="91"/>
      <c r="B73" s="98"/>
      <c r="C73" s="166" t="s">
        <v>48</v>
      </c>
      <c r="D73" s="167"/>
      <c r="E73" s="167"/>
      <c r="F73" s="168"/>
      <c r="G73" s="168"/>
      <c r="H73" s="168"/>
      <c r="I73" s="168"/>
      <c r="J73" s="99"/>
      <c r="K73" s="91"/>
      <c r="L73" s="91"/>
      <c r="M73" s="91"/>
      <c r="N73" s="91"/>
      <c r="O73" s="91"/>
      <c r="P73" s="91"/>
      <c r="Q73" s="91"/>
      <c r="R73" s="91"/>
      <c r="S73" s="91"/>
      <c r="T73" s="91"/>
      <c r="U73" s="91"/>
      <c r="V73" s="91"/>
    </row>
    <row r="74" spans="1:22" ht="2.4500000000000002" customHeight="1">
      <c r="A74" s="91"/>
      <c r="B74" s="98"/>
      <c r="C74" s="100"/>
      <c r="D74" s="91"/>
      <c r="E74" s="91"/>
      <c r="F74" s="92"/>
      <c r="G74" s="92"/>
      <c r="H74" s="92"/>
      <c r="I74" s="92"/>
      <c r="J74" s="99"/>
      <c r="K74" s="91"/>
      <c r="L74" s="91"/>
      <c r="M74" s="91"/>
      <c r="N74" s="91"/>
      <c r="O74" s="91"/>
      <c r="P74" s="91"/>
      <c r="Q74" s="91"/>
      <c r="R74" s="91"/>
      <c r="S74" s="91"/>
      <c r="T74" s="91"/>
      <c r="U74" s="91"/>
      <c r="V74" s="91"/>
    </row>
    <row r="75" spans="1:22" ht="33.950000000000003" customHeight="1">
      <c r="A75" s="91"/>
      <c r="B75" s="98"/>
      <c r="C75" s="101" t="s">
        <v>3</v>
      </c>
      <c r="D75" s="226" t="s">
        <v>49</v>
      </c>
      <c r="E75" s="227"/>
      <c r="F75" s="227"/>
      <c r="G75" s="227"/>
      <c r="H75" s="227"/>
      <c r="I75" s="228"/>
      <c r="J75" s="99"/>
      <c r="K75" s="91"/>
      <c r="L75" s="91"/>
      <c r="M75" s="91"/>
      <c r="N75" s="91"/>
      <c r="O75" s="91"/>
      <c r="P75" s="91"/>
      <c r="Q75" s="91"/>
      <c r="R75" s="91"/>
      <c r="S75" s="91"/>
      <c r="T75" s="91"/>
      <c r="U75" s="91"/>
      <c r="V75" s="91"/>
    </row>
    <row r="76" spans="1:22" ht="6.6" customHeight="1">
      <c r="A76" s="91"/>
      <c r="B76" s="98"/>
      <c r="C76" s="91"/>
      <c r="D76" s="91"/>
      <c r="E76" s="91"/>
      <c r="F76" s="92"/>
      <c r="G76" s="92"/>
      <c r="H76" s="92"/>
      <c r="I76" s="92"/>
      <c r="J76" s="99"/>
      <c r="K76" s="91"/>
      <c r="L76" s="91"/>
      <c r="M76" s="91"/>
      <c r="N76" s="91"/>
      <c r="O76" s="91"/>
      <c r="P76" s="91"/>
      <c r="Q76" s="91"/>
      <c r="R76" s="91"/>
      <c r="S76" s="91"/>
      <c r="T76" s="91"/>
      <c r="U76" s="91"/>
      <c r="V76" s="91"/>
    </row>
    <row r="77" spans="1:22" ht="17.100000000000001" customHeight="1">
      <c r="A77" s="91"/>
      <c r="B77" s="98"/>
      <c r="C77" s="220" t="s">
        <v>5</v>
      </c>
      <c r="D77" s="220"/>
      <c r="E77" s="91"/>
      <c r="F77" s="92"/>
      <c r="G77" s="92"/>
      <c r="H77" s="92"/>
      <c r="I77" s="92"/>
      <c r="J77" s="99"/>
      <c r="K77" s="91"/>
      <c r="L77" s="91"/>
      <c r="M77" s="91"/>
      <c r="N77" s="91"/>
      <c r="O77" s="91"/>
      <c r="P77" s="91"/>
      <c r="Q77" s="91"/>
      <c r="R77" s="91"/>
      <c r="S77" s="91"/>
      <c r="T77" s="91"/>
      <c r="U77" s="91"/>
      <c r="V77" s="91"/>
    </row>
    <row r="78" spans="1:22" ht="6.6" customHeight="1">
      <c r="A78" s="91"/>
      <c r="B78" s="98"/>
      <c r="D78" s="91"/>
      <c r="E78" s="91"/>
      <c r="F78" s="92"/>
      <c r="G78" s="92"/>
      <c r="H78" s="92"/>
      <c r="I78" s="92"/>
      <c r="J78" s="99"/>
      <c r="K78" s="91"/>
      <c r="L78" s="91"/>
      <c r="M78" s="91"/>
      <c r="N78" s="91"/>
      <c r="O78" s="91"/>
      <c r="P78" s="91"/>
      <c r="Q78" s="91"/>
      <c r="R78" s="91"/>
      <c r="S78" s="91"/>
      <c r="T78" s="91"/>
      <c r="U78" s="91"/>
      <c r="V78" s="91"/>
    </row>
    <row r="79" spans="1:22" s="129" customFormat="1" ht="33.75" customHeight="1">
      <c r="A79" s="126"/>
      <c r="B79" s="127"/>
      <c r="C79" s="229" t="s">
        <v>50</v>
      </c>
      <c r="D79" s="230"/>
      <c r="E79" s="230"/>
      <c r="F79" s="230"/>
      <c r="G79" s="230"/>
      <c r="H79" s="230"/>
      <c r="I79" s="231"/>
      <c r="J79" s="128"/>
      <c r="K79" s="126"/>
      <c r="L79" s="126"/>
      <c r="M79" s="126"/>
      <c r="N79" s="126"/>
      <c r="O79" s="126"/>
      <c r="P79" s="126"/>
      <c r="Q79" s="126"/>
      <c r="R79" s="126"/>
      <c r="S79" s="126"/>
      <c r="T79" s="126"/>
      <c r="U79" s="126"/>
      <c r="V79" s="126"/>
    </row>
    <row r="80" spans="1:22" ht="6.6" customHeight="1">
      <c r="A80" s="91"/>
      <c r="B80" s="98"/>
      <c r="C80" s="91"/>
      <c r="D80" s="91"/>
      <c r="E80" s="91"/>
      <c r="F80" s="92"/>
      <c r="G80" s="92"/>
      <c r="H80" s="92"/>
      <c r="I80" s="92"/>
      <c r="J80" s="99"/>
      <c r="K80" s="91"/>
      <c r="L80" s="91"/>
      <c r="M80" s="91"/>
      <c r="N80" s="91"/>
      <c r="O80" s="91"/>
      <c r="P80" s="91"/>
      <c r="Q80" s="91"/>
      <c r="R80" s="91"/>
      <c r="S80" s="91"/>
      <c r="T80" s="91"/>
      <c r="U80" s="91"/>
      <c r="V80" s="91"/>
    </row>
    <row r="81" spans="1:22" ht="17.100000000000001" customHeight="1">
      <c r="A81" s="91"/>
      <c r="B81" s="98"/>
      <c r="C81" s="220" t="s">
        <v>7</v>
      </c>
      <c r="D81" s="220"/>
      <c r="E81" s="91"/>
      <c r="F81" s="92"/>
      <c r="G81" s="92"/>
      <c r="H81" s="92"/>
      <c r="I81" s="92"/>
      <c r="J81" s="99"/>
      <c r="K81" s="91"/>
      <c r="L81" s="91"/>
      <c r="M81" s="91"/>
      <c r="N81" s="91"/>
      <c r="O81" s="91"/>
      <c r="P81" s="91"/>
      <c r="Q81" s="91"/>
      <c r="R81" s="91"/>
      <c r="S81" s="91"/>
      <c r="T81" s="91"/>
      <c r="U81" s="91"/>
      <c r="V81" s="91"/>
    </row>
    <row r="82" spans="1:22" ht="6.6" customHeight="1">
      <c r="A82" s="91"/>
      <c r="B82" s="98"/>
      <c r="D82" s="91"/>
      <c r="E82" s="91"/>
      <c r="F82" s="92"/>
      <c r="G82" s="92"/>
      <c r="H82" s="92"/>
      <c r="I82" s="92"/>
      <c r="J82" s="99"/>
      <c r="K82" s="91"/>
      <c r="L82" s="91"/>
      <c r="M82" s="91"/>
      <c r="N82" s="91"/>
      <c r="O82" s="91"/>
      <c r="P82" s="91"/>
      <c r="Q82" s="91"/>
      <c r="R82" s="91"/>
      <c r="S82" s="91"/>
      <c r="T82" s="91"/>
      <c r="U82" s="91"/>
      <c r="V82" s="91"/>
    </row>
    <row r="83" spans="1:22" ht="58.5" customHeight="1">
      <c r="A83" s="91"/>
      <c r="B83" s="98"/>
      <c r="C83" s="232" t="s">
        <v>51</v>
      </c>
      <c r="D83" s="233"/>
      <c r="E83" s="233"/>
      <c r="F83" s="233"/>
      <c r="G83" s="233"/>
      <c r="H83" s="233"/>
      <c r="I83" s="234"/>
      <c r="J83" s="99"/>
      <c r="K83" s="91"/>
      <c r="L83" s="91"/>
      <c r="M83" s="91"/>
      <c r="N83" s="91"/>
      <c r="O83" s="91"/>
      <c r="P83" s="91"/>
      <c r="Q83" s="91"/>
      <c r="R83" s="91"/>
      <c r="S83" s="91"/>
      <c r="T83" s="91"/>
      <c r="U83" s="91"/>
      <c r="V83" s="91"/>
    </row>
    <row r="84" spans="1:22" ht="12" customHeight="1">
      <c r="A84" s="91"/>
      <c r="B84" s="98"/>
      <c r="C84" s="91"/>
      <c r="D84" s="91"/>
      <c r="E84" s="91"/>
      <c r="F84" s="92"/>
      <c r="G84" s="92"/>
      <c r="H84" s="92"/>
      <c r="I84" s="92"/>
      <c r="J84" s="99"/>
      <c r="K84" s="91"/>
      <c r="L84" s="91"/>
      <c r="M84" s="91"/>
      <c r="N84" s="91"/>
      <c r="O84" s="91"/>
      <c r="P84" s="91"/>
      <c r="Q84" s="91"/>
      <c r="R84" s="91"/>
      <c r="S84" s="91"/>
      <c r="T84" s="91"/>
      <c r="U84" s="91"/>
      <c r="V84" s="91"/>
    </row>
    <row r="85" spans="1:22" ht="93" customHeight="1">
      <c r="A85" s="91"/>
      <c r="B85" s="98"/>
      <c r="C85" s="206" t="s">
        <v>9</v>
      </c>
      <c r="D85" s="224" t="s">
        <v>52</v>
      </c>
      <c r="E85" s="213"/>
      <c r="F85" s="235" t="s">
        <v>53</v>
      </c>
      <c r="G85" s="236"/>
      <c r="H85" s="236"/>
      <c r="I85" s="237"/>
      <c r="J85" s="99"/>
      <c r="K85" s="91"/>
      <c r="L85" s="91"/>
      <c r="M85" s="91"/>
      <c r="N85" s="91"/>
      <c r="O85" s="91"/>
      <c r="P85" s="91"/>
      <c r="Q85" s="91"/>
      <c r="R85" s="91"/>
      <c r="S85" s="91"/>
      <c r="T85" s="91"/>
      <c r="U85" s="91"/>
      <c r="V85" s="91"/>
    </row>
    <row r="86" spans="1:22" s="104" customFormat="1" ht="4.5" customHeight="1" outlineLevel="1">
      <c r="A86" s="91"/>
      <c r="B86" s="98"/>
      <c r="C86" s="102"/>
      <c r="D86" s="102"/>
      <c r="E86" s="102"/>
      <c r="F86" s="102"/>
      <c r="G86" s="102"/>
      <c r="H86" s="103"/>
      <c r="I86" s="103"/>
      <c r="J86" s="99"/>
      <c r="K86" s="91"/>
      <c r="L86" s="91"/>
      <c r="M86" s="91"/>
      <c r="N86" s="91"/>
      <c r="O86" s="91"/>
      <c r="P86" s="91"/>
      <c r="Q86" s="91"/>
      <c r="R86" s="91"/>
      <c r="S86" s="91"/>
      <c r="T86" s="91"/>
      <c r="U86" s="91"/>
      <c r="V86" s="91"/>
    </row>
    <row r="87" spans="1:22" ht="38.450000000000003" customHeight="1" outlineLevel="1">
      <c r="A87" s="91"/>
      <c r="B87" s="98"/>
      <c r="C87" s="105"/>
      <c r="D87" s="106" t="s">
        <v>12</v>
      </c>
      <c r="E87" s="110" t="s">
        <v>13</v>
      </c>
      <c r="F87" s="110" t="s">
        <v>14</v>
      </c>
      <c r="G87" s="110" t="s">
        <v>15</v>
      </c>
      <c r="H87" s="110" t="s">
        <v>16</v>
      </c>
      <c r="I87" s="110" t="s">
        <v>17</v>
      </c>
      <c r="J87" s="99"/>
      <c r="K87" s="91"/>
      <c r="L87" s="91"/>
      <c r="M87" s="91"/>
      <c r="N87" s="91"/>
      <c r="O87" s="91"/>
      <c r="P87" s="91"/>
      <c r="Q87" s="91"/>
      <c r="R87" s="91"/>
      <c r="S87" s="91"/>
      <c r="T87" s="91"/>
      <c r="U87" s="91"/>
      <c r="V87" s="91"/>
    </row>
    <row r="88" spans="1:22" ht="45" customHeight="1" outlineLevel="1">
      <c r="A88" s="91"/>
      <c r="B88" s="98"/>
      <c r="C88" s="102"/>
      <c r="D88" s="108" t="s">
        <v>54</v>
      </c>
      <c r="E88" s="113" t="s">
        <v>21</v>
      </c>
      <c r="F88" s="117"/>
      <c r="G88" s="124">
        <v>46055</v>
      </c>
      <c r="H88" s="124">
        <v>46080</v>
      </c>
      <c r="I88" s="124"/>
      <c r="J88" s="99"/>
      <c r="K88" s="91"/>
      <c r="L88" s="91"/>
      <c r="M88" s="91"/>
      <c r="N88" s="91"/>
      <c r="O88" s="91"/>
      <c r="P88" s="91"/>
      <c r="Q88" s="91"/>
      <c r="R88" s="91"/>
      <c r="S88" s="91"/>
      <c r="T88" s="91"/>
      <c r="U88" s="91"/>
      <c r="V88" s="91"/>
    </row>
    <row r="89" spans="1:22" ht="43.5" customHeight="1" outlineLevel="1">
      <c r="A89" s="91"/>
      <c r="B89" s="98"/>
      <c r="C89" s="102"/>
      <c r="D89" s="108" t="s">
        <v>55</v>
      </c>
      <c r="E89" s="113" t="s">
        <v>56</v>
      </c>
      <c r="F89" s="117"/>
      <c r="G89" s="124">
        <v>46055</v>
      </c>
      <c r="H89" s="124">
        <v>46112</v>
      </c>
      <c r="I89" s="124"/>
      <c r="J89" s="99"/>
      <c r="K89" s="91"/>
      <c r="L89" s="91"/>
      <c r="M89" s="91"/>
      <c r="N89" s="91"/>
      <c r="O89" s="91"/>
      <c r="P89" s="91"/>
      <c r="Q89" s="91"/>
      <c r="R89" s="91"/>
      <c r="S89" s="91"/>
      <c r="T89" s="91"/>
      <c r="U89" s="91"/>
      <c r="V89" s="91"/>
    </row>
    <row r="90" spans="1:22" ht="21" customHeight="1" outlineLevel="1">
      <c r="A90" s="91"/>
      <c r="B90" s="98"/>
      <c r="C90" s="102"/>
      <c r="D90" s="108" t="s">
        <v>57</v>
      </c>
      <c r="E90" s="113" t="s">
        <v>58</v>
      </c>
      <c r="F90" s="117"/>
      <c r="G90" s="124">
        <v>46113</v>
      </c>
      <c r="H90" s="124">
        <v>46173</v>
      </c>
      <c r="I90" s="124"/>
      <c r="J90" s="99"/>
      <c r="K90" s="91"/>
      <c r="L90" s="91"/>
      <c r="M90" s="91"/>
      <c r="N90" s="91"/>
      <c r="O90" s="91"/>
      <c r="P90" s="91"/>
      <c r="Q90" s="91"/>
      <c r="R90" s="91"/>
      <c r="S90" s="91"/>
      <c r="T90" s="91"/>
      <c r="U90" s="91"/>
      <c r="V90" s="91"/>
    </row>
    <row r="91" spans="1:22" ht="59.25" customHeight="1" outlineLevel="1">
      <c r="A91" s="91"/>
      <c r="B91" s="98"/>
      <c r="C91" s="102"/>
      <c r="D91" s="108" t="s">
        <v>59</v>
      </c>
      <c r="E91" s="113" t="s">
        <v>60</v>
      </c>
      <c r="F91" s="117"/>
      <c r="G91" s="124">
        <v>46113</v>
      </c>
      <c r="H91" s="124">
        <v>46173</v>
      </c>
      <c r="I91" s="124"/>
      <c r="J91" s="99"/>
      <c r="K91" s="91"/>
      <c r="L91" s="91"/>
      <c r="M91" s="91"/>
      <c r="N91" s="91"/>
      <c r="O91" s="91"/>
      <c r="P91" s="91"/>
      <c r="Q91" s="91"/>
      <c r="R91" s="91"/>
      <c r="S91" s="91"/>
      <c r="T91" s="91"/>
      <c r="U91" s="91"/>
      <c r="V91" s="91"/>
    </row>
    <row r="92" spans="1:22" ht="55.5" customHeight="1" outlineLevel="1">
      <c r="A92" s="91"/>
      <c r="B92" s="98"/>
      <c r="C92" s="102"/>
      <c r="D92" s="108" t="s">
        <v>61</v>
      </c>
      <c r="E92" s="113" t="s">
        <v>60</v>
      </c>
      <c r="F92" s="117"/>
      <c r="G92" s="124">
        <v>46113</v>
      </c>
      <c r="H92" s="124">
        <v>46173</v>
      </c>
      <c r="I92" s="124"/>
      <c r="J92" s="99"/>
      <c r="K92" s="91"/>
      <c r="L92" s="91"/>
      <c r="M92" s="91"/>
      <c r="N92" s="91"/>
      <c r="O92" s="91"/>
      <c r="P92" s="91"/>
      <c r="Q92" s="91"/>
      <c r="R92" s="91"/>
      <c r="S92" s="91"/>
      <c r="T92" s="91"/>
      <c r="U92" s="91"/>
      <c r="V92" s="91"/>
    </row>
    <row r="93" spans="1:22" ht="29.25" outlineLevel="1">
      <c r="A93" s="91"/>
      <c r="B93" s="98"/>
      <c r="C93" s="102"/>
      <c r="D93" s="108" t="s">
        <v>62</v>
      </c>
      <c r="E93" s="113" t="s">
        <v>58</v>
      </c>
      <c r="F93" s="117"/>
      <c r="G93" s="124">
        <v>46113</v>
      </c>
      <c r="H93" s="124">
        <v>46234</v>
      </c>
      <c r="I93" s="124"/>
      <c r="J93" s="99"/>
      <c r="K93" s="91"/>
      <c r="L93" s="91"/>
      <c r="M93" s="91"/>
      <c r="N93" s="91"/>
      <c r="O93" s="91"/>
      <c r="P93" s="91"/>
      <c r="Q93" s="91"/>
      <c r="R93" s="91"/>
      <c r="S93" s="91"/>
      <c r="T93" s="91"/>
      <c r="U93" s="91"/>
      <c r="V93" s="91"/>
    </row>
    <row r="94" spans="1:22" ht="20.25" customHeight="1" outlineLevel="1">
      <c r="A94" s="91"/>
      <c r="B94" s="98"/>
      <c r="C94" s="102"/>
      <c r="D94" s="108" t="s">
        <v>63</v>
      </c>
      <c r="E94" s="113" t="s">
        <v>58</v>
      </c>
      <c r="F94" s="117"/>
      <c r="G94" s="124">
        <v>46204</v>
      </c>
      <c r="H94" s="124">
        <v>46234</v>
      </c>
      <c r="I94" s="124"/>
      <c r="J94" s="99"/>
      <c r="K94" s="91"/>
      <c r="L94" s="91"/>
      <c r="M94" s="91"/>
      <c r="N94" s="91"/>
      <c r="O94" s="91"/>
      <c r="P94" s="91"/>
      <c r="Q94" s="91"/>
      <c r="R94" s="91"/>
      <c r="S94" s="91"/>
      <c r="T94" s="91"/>
      <c r="U94" s="91"/>
      <c r="V94" s="91"/>
    </row>
    <row r="95" spans="1:22" hidden="1" outlineLevel="1">
      <c r="A95" s="91"/>
      <c r="B95" s="98"/>
      <c r="C95" s="102"/>
      <c r="D95" s="108"/>
      <c r="E95" s="113"/>
      <c r="F95" s="117"/>
      <c r="G95" s="124"/>
      <c r="H95" s="124"/>
      <c r="I95" s="124"/>
      <c r="J95" s="99"/>
      <c r="K95" s="91"/>
      <c r="L95" s="91"/>
      <c r="M95" s="91"/>
      <c r="N95" s="91"/>
      <c r="O95" s="91"/>
      <c r="P95" s="91"/>
      <c r="Q95" s="91"/>
      <c r="R95" s="91"/>
      <c r="S95" s="91"/>
      <c r="T95" s="91"/>
      <c r="U95" s="91"/>
      <c r="V95" s="91"/>
    </row>
    <row r="96" spans="1:22" ht="14.45" hidden="1" outlineLevel="1">
      <c r="A96" s="91"/>
      <c r="B96" s="98"/>
      <c r="C96" s="102"/>
      <c r="D96" s="108"/>
      <c r="E96" s="113"/>
      <c r="F96" s="117"/>
      <c r="G96" s="124"/>
      <c r="H96" s="124"/>
      <c r="I96" s="124"/>
      <c r="J96" s="99"/>
      <c r="K96" s="91"/>
      <c r="L96" s="91"/>
      <c r="M96" s="91"/>
      <c r="N96" s="91"/>
      <c r="O96" s="91"/>
      <c r="P96" s="91"/>
      <c r="Q96" s="91"/>
      <c r="R96" s="91"/>
      <c r="S96" s="91"/>
      <c r="T96" s="91"/>
      <c r="U96" s="91"/>
      <c r="V96" s="91"/>
    </row>
    <row r="97" spans="1:22" ht="14.45" hidden="1" outlineLevel="1">
      <c r="A97" s="91"/>
      <c r="B97" s="98"/>
      <c r="C97" s="102"/>
      <c r="D97" s="108"/>
      <c r="E97" s="113"/>
      <c r="F97" s="117"/>
      <c r="G97" s="124"/>
      <c r="H97" s="124"/>
      <c r="I97" s="124"/>
      <c r="J97" s="99"/>
      <c r="K97" s="91"/>
      <c r="L97" s="91"/>
      <c r="M97" s="91"/>
      <c r="N97" s="91"/>
      <c r="O97" s="91"/>
      <c r="P97" s="91"/>
      <c r="Q97" s="91"/>
      <c r="R97" s="91"/>
      <c r="S97" s="91"/>
      <c r="T97" s="91"/>
      <c r="U97" s="91"/>
      <c r="V97" s="91"/>
    </row>
    <row r="98" spans="1:22" ht="14.45" hidden="1" outlineLevel="1">
      <c r="A98" s="91"/>
      <c r="B98" s="98"/>
      <c r="C98" s="102"/>
      <c r="D98" s="108"/>
      <c r="E98" s="113"/>
      <c r="F98" s="117"/>
      <c r="G98" s="124"/>
      <c r="H98" s="124"/>
      <c r="I98" s="124"/>
      <c r="J98" s="99"/>
      <c r="K98" s="91"/>
      <c r="L98" s="91"/>
      <c r="M98" s="91"/>
      <c r="N98" s="91"/>
      <c r="O98" s="91"/>
      <c r="P98" s="91"/>
      <c r="Q98" s="91"/>
      <c r="R98" s="91"/>
      <c r="S98" s="91"/>
      <c r="T98" s="91"/>
      <c r="U98" s="91"/>
      <c r="V98" s="91"/>
    </row>
    <row r="99" spans="1:22" ht="14.45" hidden="1" outlineLevel="1">
      <c r="A99" s="91"/>
      <c r="B99" s="98"/>
      <c r="C99" s="102"/>
      <c r="D99" s="108"/>
      <c r="E99" s="113"/>
      <c r="F99" s="117"/>
      <c r="G99" s="124"/>
      <c r="H99" s="124"/>
      <c r="I99" s="124"/>
      <c r="J99" s="99"/>
      <c r="K99" s="91"/>
      <c r="L99" s="91"/>
      <c r="M99" s="91"/>
      <c r="N99" s="91"/>
      <c r="O99" s="91"/>
      <c r="P99" s="91"/>
      <c r="Q99" s="91"/>
      <c r="R99" s="91"/>
      <c r="S99" s="91"/>
      <c r="T99" s="91"/>
      <c r="U99" s="91"/>
      <c r="V99" s="91"/>
    </row>
    <row r="100" spans="1:22" ht="14.45" hidden="1" outlineLevel="1">
      <c r="A100" s="91"/>
      <c r="B100" s="98"/>
      <c r="C100" s="102"/>
      <c r="D100" s="108"/>
      <c r="E100" s="113"/>
      <c r="F100" s="117"/>
      <c r="G100" s="124"/>
      <c r="H100" s="124"/>
      <c r="I100" s="124"/>
      <c r="J100" s="99"/>
      <c r="K100" s="91"/>
      <c r="L100" s="91"/>
      <c r="M100" s="91"/>
      <c r="N100" s="91"/>
      <c r="O100" s="91"/>
      <c r="P100" s="91"/>
      <c r="Q100" s="91"/>
      <c r="R100" s="91"/>
      <c r="S100" s="91"/>
      <c r="T100" s="91"/>
      <c r="U100" s="91"/>
      <c r="V100" s="91"/>
    </row>
    <row r="101" spans="1:22" ht="14.45" hidden="1" outlineLevel="1">
      <c r="A101" s="91"/>
      <c r="B101" s="98"/>
      <c r="C101" s="102"/>
      <c r="D101" s="108"/>
      <c r="E101" s="113"/>
      <c r="F101" s="117"/>
      <c r="G101" s="124"/>
      <c r="H101" s="124"/>
      <c r="I101" s="124"/>
      <c r="J101" s="99"/>
      <c r="K101" s="91"/>
      <c r="L101" s="91"/>
      <c r="M101" s="91"/>
      <c r="N101" s="91"/>
      <c r="O101" s="91"/>
      <c r="P101" s="91"/>
      <c r="Q101" s="91"/>
      <c r="R101" s="91"/>
      <c r="S101" s="91"/>
      <c r="T101" s="91"/>
      <c r="U101" s="91"/>
      <c r="V101" s="91"/>
    </row>
    <row r="102" spans="1:22" ht="14.45" hidden="1" outlineLevel="1">
      <c r="A102" s="91"/>
      <c r="B102" s="98"/>
      <c r="C102" s="102"/>
      <c r="D102" s="108"/>
      <c r="E102" s="113"/>
      <c r="F102" s="117"/>
      <c r="G102" s="124"/>
      <c r="H102" s="124"/>
      <c r="I102" s="124"/>
      <c r="J102" s="99"/>
      <c r="K102" s="91"/>
      <c r="L102" s="91"/>
      <c r="M102" s="91"/>
      <c r="N102" s="91"/>
      <c r="O102" s="91"/>
      <c r="P102" s="91"/>
      <c r="Q102" s="91"/>
      <c r="R102" s="91"/>
      <c r="S102" s="91"/>
      <c r="T102" s="91"/>
      <c r="U102" s="91"/>
      <c r="V102" s="91"/>
    </row>
    <row r="103" spans="1:22" ht="4.5" customHeight="1" outlineLevel="1">
      <c r="A103" s="91"/>
      <c r="B103" s="98"/>
      <c r="C103" s="102"/>
      <c r="D103" s="102"/>
      <c r="E103" s="102"/>
      <c r="F103" s="102"/>
      <c r="G103" s="102"/>
      <c r="H103" s="102"/>
      <c r="I103" s="102"/>
      <c r="J103" s="99"/>
      <c r="K103" s="91"/>
      <c r="L103" s="91"/>
      <c r="M103" s="91"/>
      <c r="N103" s="91"/>
      <c r="O103" s="91"/>
      <c r="P103" s="91"/>
      <c r="Q103" s="91"/>
      <c r="R103" s="91"/>
      <c r="S103" s="91"/>
      <c r="T103" s="91"/>
      <c r="U103" s="91"/>
      <c r="V103" s="91"/>
    </row>
    <row r="104" spans="1:22" ht="80.45" customHeight="1">
      <c r="A104" s="91"/>
      <c r="B104" s="98"/>
      <c r="C104" s="207" t="s">
        <v>25</v>
      </c>
      <c r="D104" s="212" t="s">
        <v>64</v>
      </c>
      <c r="E104" s="213"/>
      <c r="F104" s="225" t="s">
        <v>65</v>
      </c>
      <c r="G104" s="236"/>
      <c r="H104" s="236"/>
      <c r="I104" s="237"/>
      <c r="J104" s="99"/>
      <c r="K104" s="91"/>
      <c r="L104" s="91"/>
      <c r="M104" s="91"/>
      <c r="N104" s="91"/>
      <c r="O104" s="91"/>
      <c r="P104" s="91"/>
      <c r="Q104" s="91"/>
      <c r="R104" s="91"/>
      <c r="S104" s="91"/>
      <c r="T104" s="91"/>
      <c r="U104" s="91"/>
      <c r="V104" s="91"/>
    </row>
    <row r="105" spans="1:22" ht="4.5" customHeight="1" outlineLevel="1">
      <c r="A105" s="91"/>
      <c r="B105" s="98"/>
      <c r="C105" s="102"/>
      <c r="D105" s="102"/>
      <c r="E105" s="102"/>
      <c r="F105" s="102"/>
      <c r="G105" s="102"/>
      <c r="H105" s="102"/>
      <c r="I105" s="102"/>
      <c r="J105" s="99"/>
      <c r="K105" s="91"/>
      <c r="L105" s="91"/>
      <c r="M105" s="91"/>
      <c r="N105" s="91"/>
      <c r="O105" s="91"/>
      <c r="P105" s="91"/>
      <c r="Q105" s="91"/>
      <c r="R105" s="91"/>
      <c r="S105" s="91"/>
      <c r="T105" s="91"/>
      <c r="U105" s="91"/>
      <c r="V105" s="91"/>
    </row>
    <row r="106" spans="1:22" ht="33.6" customHeight="1" outlineLevel="1">
      <c r="A106" s="91"/>
      <c r="B106" s="98"/>
      <c r="C106" s="105"/>
      <c r="D106" s="106" t="s">
        <v>12</v>
      </c>
      <c r="E106" s="110" t="s">
        <v>13</v>
      </c>
      <c r="F106" s="110" t="s">
        <v>14</v>
      </c>
      <c r="G106" s="110" t="s">
        <v>15</v>
      </c>
      <c r="H106" s="110" t="s">
        <v>16</v>
      </c>
      <c r="I106" s="110" t="s">
        <v>17</v>
      </c>
      <c r="J106" s="99"/>
      <c r="K106" s="91"/>
      <c r="L106" s="91"/>
      <c r="M106" s="91"/>
      <c r="N106" s="91"/>
      <c r="O106" s="91"/>
      <c r="P106" s="91"/>
      <c r="Q106" s="91"/>
      <c r="R106" s="91"/>
      <c r="S106" s="91"/>
      <c r="T106" s="91"/>
      <c r="U106" s="91"/>
      <c r="V106" s="91"/>
    </row>
    <row r="107" spans="1:22" ht="43.5" customHeight="1" outlineLevel="1">
      <c r="A107" s="91"/>
      <c r="B107" s="98"/>
      <c r="C107" s="102"/>
      <c r="D107" s="108" t="s">
        <v>66</v>
      </c>
      <c r="E107" s="113" t="s">
        <v>67</v>
      </c>
      <c r="F107" s="117"/>
      <c r="G107" s="124">
        <v>46113</v>
      </c>
      <c r="H107" s="124">
        <v>46142</v>
      </c>
      <c r="I107" s="124"/>
      <c r="J107" s="99"/>
      <c r="K107" s="91"/>
      <c r="L107" s="91"/>
      <c r="M107" s="91"/>
      <c r="N107" s="91"/>
      <c r="O107" s="91"/>
      <c r="P107" s="91"/>
      <c r="Q107" s="91"/>
      <c r="R107" s="91"/>
      <c r="S107" s="91"/>
      <c r="T107" s="91"/>
      <c r="U107" s="91"/>
      <c r="V107" s="91"/>
    </row>
    <row r="108" spans="1:22" ht="43.5" customHeight="1" outlineLevel="1">
      <c r="A108" s="91"/>
      <c r="B108" s="98"/>
      <c r="C108" s="102"/>
      <c r="D108" s="108" t="s">
        <v>68</v>
      </c>
      <c r="E108" s="113" t="s">
        <v>67</v>
      </c>
      <c r="F108" s="117"/>
      <c r="G108" s="124">
        <v>46113</v>
      </c>
      <c r="H108" s="124">
        <v>46234</v>
      </c>
      <c r="I108" s="124"/>
      <c r="J108" s="99"/>
      <c r="K108" s="91"/>
      <c r="L108" s="91"/>
      <c r="M108" s="91"/>
      <c r="N108" s="91"/>
      <c r="O108" s="91"/>
      <c r="P108" s="91"/>
      <c r="Q108" s="91"/>
      <c r="R108" s="91"/>
      <c r="S108" s="91"/>
      <c r="T108" s="91"/>
      <c r="U108" s="91"/>
      <c r="V108" s="91"/>
    </row>
    <row r="109" spans="1:22" ht="43.5" customHeight="1" outlineLevel="1">
      <c r="A109" s="91"/>
      <c r="B109" s="98"/>
      <c r="C109" s="102"/>
      <c r="D109" s="108" t="s">
        <v>69</v>
      </c>
      <c r="E109" s="113" t="s">
        <v>67</v>
      </c>
      <c r="F109" s="117"/>
      <c r="G109" s="124">
        <v>46113</v>
      </c>
      <c r="H109" s="124">
        <v>46234</v>
      </c>
      <c r="I109" s="124"/>
      <c r="J109" s="99"/>
      <c r="K109" s="91"/>
      <c r="L109" s="91"/>
      <c r="M109" s="91"/>
      <c r="N109" s="91"/>
      <c r="O109" s="91"/>
      <c r="P109" s="91"/>
      <c r="Q109" s="91"/>
      <c r="R109" s="91"/>
      <c r="S109" s="91"/>
      <c r="T109" s="91"/>
      <c r="U109" s="91"/>
      <c r="V109" s="91"/>
    </row>
    <row r="110" spans="1:22" ht="43.5" customHeight="1" outlineLevel="1">
      <c r="A110" s="91"/>
      <c r="B110" s="98"/>
      <c r="C110" s="102"/>
      <c r="D110" s="108" t="s">
        <v>70</v>
      </c>
      <c r="E110" s="113" t="s">
        <v>67</v>
      </c>
      <c r="F110" s="117"/>
      <c r="G110" s="124">
        <v>46113</v>
      </c>
      <c r="H110" s="124">
        <v>46234</v>
      </c>
      <c r="I110" s="124"/>
      <c r="J110" s="99"/>
      <c r="K110" s="91"/>
      <c r="L110" s="91"/>
      <c r="M110" s="91"/>
      <c r="N110" s="91"/>
      <c r="O110" s="91"/>
      <c r="P110" s="91"/>
      <c r="Q110" s="91"/>
      <c r="R110" s="91"/>
      <c r="S110" s="91"/>
      <c r="T110" s="91"/>
      <c r="U110" s="91"/>
      <c r="V110" s="91"/>
    </row>
    <row r="111" spans="1:22" ht="35.25" customHeight="1" outlineLevel="1">
      <c r="A111" s="91"/>
      <c r="B111" s="98"/>
      <c r="C111" s="102"/>
      <c r="D111" s="108" t="s">
        <v>71</v>
      </c>
      <c r="E111" s="113" t="s">
        <v>58</v>
      </c>
      <c r="F111" s="117"/>
      <c r="G111" s="124">
        <v>46113</v>
      </c>
      <c r="H111" s="124">
        <v>46234</v>
      </c>
      <c r="I111" s="124"/>
      <c r="J111" s="99"/>
      <c r="K111" s="91"/>
      <c r="L111" s="91"/>
      <c r="M111" s="91"/>
      <c r="N111" s="91"/>
      <c r="O111" s="91"/>
      <c r="P111" s="91"/>
      <c r="Q111" s="91"/>
      <c r="R111" s="91"/>
      <c r="S111" s="91"/>
      <c r="T111" s="91"/>
      <c r="U111" s="91"/>
      <c r="V111" s="91"/>
    </row>
    <row r="112" spans="1:22" ht="35.25" customHeight="1" outlineLevel="1">
      <c r="A112" s="91"/>
      <c r="B112" s="98"/>
      <c r="C112" s="102"/>
      <c r="D112" s="108" t="s">
        <v>72</v>
      </c>
      <c r="E112" s="113" t="s">
        <v>58</v>
      </c>
      <c r="F112" s="117"/>
      <c r="G112" s="124">
        <v>46204</v>
      </c>
      <c r="H112" s="124">
        <v>46265</v>
      </c>
      <c r="I112" s="124"/>
      <c r="J112" s="99"/>
      <c r="K112" s="91"/>
      <c r="L112" s="91"/>
      <c r="M112" s="91"/>
      <c r="N112" s="91"/>
      <c r="O112" s="91"/>
      <c r="P112" s="91"/>
      <c r="Q112" s="91"/>
      <c r="R112" s="91"/>
      <c r="S112" s="91"/>
      <c r="T112" s="91"/>
      <c r="U112" s="91"/>
      <c r="V112" s="91"/>
    </row>
    <row r="113" spans="1:22" ht="14.45" hidden="1" outlineLevel="1">
      <c r="A113" s="91"/>
      <c r="B113" s="98"/>
      <c r="C113" s="102"/>
      <c r="D113" s="108"/>
      <c r="E113" s="113"/>
      <c r="F113" s="117"/>
      <c r="G113" s="124"/>
      <c r="H113" s="124"/>
      <c r="I113" s="124"/>
      <c r="J113" s="99"/>
      <c r="K113" s="91"/>
      <c r="L113" s="91"/>
      <c r="M113" s="91"/>
      <c r="N113" s="91"/>
      <c r="O113" s="91"/>
      <c r="P113" s="91"/>
      <c r="Q113" s="91"/>
      <c r="R113" s="91"/>
      <c r="S113" s="91"/>
      <c r="T113" s="91"/>
      <c r="U113" s="91"/>
      <c r="V113" s="91"/>
    </row>
    <row r="114" spans="1:22" ht="14.45" hidden="1" outlineLevel="1">
      <c r="A114" s="91"/>
      <c r="B114" s="98"/>
      <c r="C114" s="102"/>
      <c r="D114" s="108"/>
      <c r="E114" s="113"/>
      <c r="F114" s="117"/>
      <c r="G114" s="124"/>
      <c r="H114" s="124"/>
      <c r="I114" s="124"/>
      <c r="J114" s="99"/>
      <c r="K114" s="91"/>
      <c r="L114" s="91"/>
      <c r="M114" s="91"/>
      <c r="N114" s="91"/>
      <c r="O114" s="91"/>
      <c r="P114" s="91"/>
      <c r="Q114" s="91"/>
      <c r="R114" s="91"/>
      <c r="S114" s="91"/>
      <c r="T114" s="91"/>
      <c r="U114" s="91"/>
      <c r="V114" s="91"/>
    </row>
    <row r="115" spans="1:22" ht="14.45" hidden="1" outlineLevel="1">
      <c r="A115" s="91"/>
      <c r="B115" s="98"/>
      <c r="C115" s="102"/>
      <c r="D115" s="108"/>
      <c r="E115" s="113"/>
      <c r="F115" s="117"/>
      <c r="G115" s="124"/>
      <c r="H115" s="124"/>
      <c r="I115" s="124"/>
      <c r="J115" s="99"/>
      <c r="K115" s="91"/>
      <c r="L115" s="91"/>
      <c r="M115" s="91"/>
      <c r="N115" s="91"/>
      <c r="O115" s="91"/>
      <c r="P115" s="91"/>
      <c r="Q115" s="91"/>
      <c r="R115" s="91"/>
      <c r="S115" s="91"/>
      <c r="T115" s="91"/>
      <c r="U115" s="91"/>
      <c r="V115" s="91"/>
    </row>
    <row r="116" spans="1:22" ht="14.45" hidden="1" outlineLevel="1">
      <c r="A116" s="91"/>
      <c r="B116" s="98"/>
      <c r="C116" s="102"/>
      <c r="D116" s="108"/>
      <c r="E116" s="113"/>
      <c r="F116" s="117"/>
      <c r="G116" s="124"/>
      <c r="H116" s="124"/>
      <c r="I116" s="124"/>
      <c r="J116" s="99"/>
      <c r="K116" s="91"/>
      <c r="L116" s="91"/>
      <c r="M116" s="91"/>
      <c r="N116" s="91"/>
      <c r="O116" s="91"/>
      <c r="P116" s="91"/>
      <c r="Q116" s="91"/>
      <c r="R116" s="91"/>
      <c r="S116" s="91"/>
      <c r="T116" s="91"/>
      <c r="U116" s="91"/>
      <c r="V116" s="91"/>
    </row>
    <row r="117" spans="1:22" ht="14.45" hidden="1" outlineLevel="1">
      <c r="A117" s="91"/>
      <c r="B117" s="98"/>
      <c r="C117" s="102"/>
      <c r="D117" s="108"/>
      <c r="E117" s="113"/>
      <c r="F117" s="117"/>
      <c r="G117" s="124"/>
      <c r="H117" s="124"/>
      <c r="I117" s="124"/>
      <c r="J117" s="99"/>
      <c r="K117" s="91"/>
      <c r="L117" s="91"/>
      <c r="M117" s="91"/>
      <c r="N117" s="91"/>
      <c r="O117" s="91"/>
      <c r="P117" s="91"/>
      <c r="Q117" s="91"/>
      <c r="R117" s="91"/>
      <c r="S117" s="91"/>
      <c r="T117" s="91"/>
      <c r="U117" s="91"/>
      <c r="V117" s="91"/>
    </row>
    <row r="118" spans="1:22" ht="14.45" hidden="1" outlineLevel="1">
      <c r="A118" s="91"/>
      <c r="B118" s="98"/>
      <c r="C118" s="102"/>
      <c r="D118" s="108"/>
      <c r="E118" s="113"/>
      <c r="F118" s="117"/>
      <c r="G118" s="124"/>
      <c r="H118" s="124"/>
      <c r="I118" s="124"/>
      <c r="J118" s="99"/>
      <c r="K118" s="91"/>
      <c r="L118" s="91"/>
      <c r="M118" s="91"/>
      <c r="N118" s="91"/>
      <c r="O118" s="91"/>
      <c r="P118" s="91"/>
      <c r="Q118" s="91"/>
      <c r="R118" s="91"/>
      <c r="S118" s="91"/>
      <c r="T118" s="91"/>
      <c r="U118" s="91"/>
      <c r="V118" s="91"/>
    </row>
    <row r="119" spans="1:22" ht="14.45" hidden="1" outlineLevel="1">
      <c r="A119" s="91"/>
      <c r="B119" s="98"/>
      <c r="C119" s="102"/>
      <c r="D119" s="108"/>
      <c r="E119" s="113"/>
      <c r="F119" s="117"/>
      <c r="G119" s="124"/>
      <c r="H119" s="124"/>
      <c r="I119" s="124"/>
      <c r="J119" s="99"/>
      <c r="K119" s="91"/>
      <c r="L119" s="91"/>
      <c r="M119" s="91"/>
      <c r="N119" s="91"/>
      <c r="O119" s="91"/>
      <c r="P119" s="91"/>
      <c r="Q119" s="91"/>
      <c r="R119" s="91"/>
      <c r="S119" s="91"/>
      <c r="T119" s="91"/>
      <c r="U119" s="91"/>
      <c r="V119" s="91"/>
    </row>
    <row r="120" spans="1:22" ht="14.45" hidden="1" outlineLevel="1">
      <c r="A120" s="91"/>
      <c r="B120" s="98"/>
      <c r="C120" s="102"/>
      <c r="D120" s="108"/>
      <c r="E120" s="113"/>
      <c r="F120" s="117"/>
      <c r="G120" s="124"/>
      <c r="H120" s="124"/>
      <c r="I120" s="124"/>
      <c r="J120" s="99"/>
      <c r="K120" s="91"/>
      <c r="L120" s="91"/>
      <c r="M120" s="91"/>
      <c r="N120" s="91"/>
      <c r="O120" s="91"/>
      <c r="P120" s="91"/>
      <c r="Q120" s="91"/>
      <c r="R120" s="91"/>
      <c r="S120" s="91"/>
      <c r="T120" s="91"/>
      <c r="U120" s="91"/>
      <c r="V120" s="91"/>
    </row>
    <row r="121" spans="1:22" ht="38.450000000000003" customHeight="1" outlineLevel="1">
      <c r="A121" s="91"/>
      <c r="B121" s="98"/>
      <c r="C121" s="102"/>
      <c r="D121" s="102"/>
      <c r="E121" s="102"/>
      <c r="F121" s="102"/>
      <c r="G121" s="102"/>
      <c r="H121" s="102"/>
      <c r="I121" s="102"/>
      <c r="J121" s="99"/>
      <c r="K121" s="91"/>
      <c r="L121" s="91"/>
      <c r="M121" s="91"/>
      <c r="N121" s="91"/>
      <c r="O121" s="91"/>
      <c r="P121" s="91"/>
      <c r="Q121" s="91"/>
      <c r="R121" s="91"/>
      <c r="S121" s="91"/>
      <c r="T121" s="91"/>
      <c r="U121" s="91"/>
      <c r="V121" s="91"/>
    </row>
    <row r="122" spans="1:22" ht="87.6" customHeight="1">
      <c r="A122" s="91"/>
      <c r="B122" s="98"/>
      <c r="C122" s="207" t="s">
        <v>39</v>
      </c>
      <c r="D122" s="212" t="s">
        <v>73</v>
      </c>
      <c r="E122" s="213"/>
      <c r="F122" s="225" t="s">
        <v>74</v>
      </c>
      <c r="G122" s="236"/>
      <c r="H122" s="236"/>
      <c r="I122" s="237"/>
      <c r="J122" s="99"/>
      <c r="K122" s="91"/>
      <c r="L122" s="91"/>
      <c r="M122" s="91"/>
      <c r="N122" s="91"/>
      <c r="O122" s="91"/>
      <c r="P122" s="91"/>
      <c r="Q122" s="91"/>
      <c r="R122" s="91"/>
      <c r="S122" s="91"/>
      <c r="T122" s="91"/>
      <c r="U122" s="91"/>
      <c r="V122" s="91"/>
    </row>
    <row r="123" spans="1:22" ht="4.5" customHeight="1" outlineLevel="1">
      <c r="A123" s="91"/>
      <c r="B123" s="98"/>
      <c r="C123" s="102"/>
      <c r="D123" s="102"/>
      <c r="E123" s="102"/>
      <c r="F123" s="103"/>
      <c r="G123" s="103"/>
      <c r="H123" s="103"/>
      <c r="I123" s="103"/>
      <c r="J123" s="99"/>
      <c r="K123" s="91"/>
      <c r="L123" s="91"/>
      <c r="M123" s="91"/>
      <c r="N123" s="91"/>
      <c r="O123" s="91"/>
      <c r="P123" s="91"/>
      <c r="Q123" s="91"/>
      <c r="R123" s="91"/>
      <c r="S123" s="91"/>
      <c r="T123" s="91"/>
      <c r="U123" s="91"/>
      <c r="V123" s="91"/>
    </row>
    <row r="124" spans="1:22" ht="34.5" customHeight="1" outlineLevel="1">
      <c r="A124" s="91"/>
      <c r="B124" s="98"/>
      <c r="C124" s="105"/>
      <c r="D124" s="106" t="s">
        <v>12</v>
      </c>
      <c r="E124" s="110" t="s">
        <v>13</v>
      </c>
      <c r="F124" s="110" t="s">
        <v>14</v>
      </c>
      <c r="G124" s="110" t="s">
        <v>15</v>
      </c>
      <c r="H124" s="110" t="s">
        <v>16</v>
      </c>
      <c r="I124" s="110" t="s">
        <v>17</v>
      </c>
      <c r="J124" s="99"/>
      <c r="K124" s="91"/>
      <c r="L124" s="91"/>
      <c r="M124" s="91"/>
      <c r="N124" s="91"/>
      <c r="O124" s="91"/>
      <c r="P124" s="91"/>
      <c r="Q124" s="91"/>
      <c r="R124" s="91"/>
      <c r="S124" s="91"/>
      <c r="T124" s="91"/>
      <c r="U124" s="91"/>
      <c r="V124" s="91"/>
    </row>
    <row r="125" spans="1:22" ht="44.25" customHeight="1" outlineLevel="1">
      <c r="A125" s="91"/>
      <c r="B125" s="98"/>
      <c r="C125" s="102"/>
      <c r="D125" s="108" t="s">
        <v>75</v>
      </c>
      <c r="E125" s="113" t="s">
        <v>76</v>
      </c>
      <c r="F125" s="114"/>
      <c r="G125" s="123">
        <v>46055</v>
      </c>
      <c r="H125" s="123">
        <v>46112</v>
      </c>
      <c r="I125" s="123"/>
      <c r="J125" s="99"/>
      <c r="K125" s="91"/>
      <c r="L125" s="91"/>
      <c r="M125" s="91"/>
      <c r="N125" s="91"/>
      <c r="O125" s="91"/>
      <c r="P125" s="91"/>
      <c r="Q125" s="91"/>
      <c r="R125" s="91"/>
      <c r="S125" s="91"/>
      <c r="T125" s="91"/>
      <c r="U125" s="91"/>
      <c r="V125" s="91"/>
    </row>
    <row r="126" spans="1:22" ht="21" customHeight="1" outlineLevel="1">
      <c r="A126" s="91"/>
      <c r="B126" s="98"/>
      <c r="C126" s="102"/>
      <c r="D126" s="164" t="s">
        <v>77</v>
      </c>
      <c r="E126" s="113" t="s">
        <v>78</v>
      </c>
      <c r="F126" s="114"/>
      <c r="G126" s="123">
        <v>46055</v>
      </c>
      <c r="H126" s="123">
        <v>46112</v>
      </c>
      <c r="I126" s="123"/>
      <c r="J126" s="99"/>
      <c r="K126" s="91"/>
      <c r="L126" s="91"/>
      <c r="M126" s="91"/>
      <c r="N126" s="91"/>
      <c r="O126" s="91"/>
      <c r="P126" s="91"/>
      <c r="Q126" s="91"/>
      <c r="R126" s="91"/>
      <c r="S126" s="91"/>
      <c r="T126" s="91"/>
      <c r="U126" s="91"/>
      <c r="V126" s="91"/>
    </row>
    <row r="127" spans="1:22" ht="35.25" customHeight="1" outlineLevel="1">
      <c r="A127" s="91"/>
      <c r="B127" s="98"/>
      <c r="C127" s="102"/>
      <c r="D127" s="164" t="s">
        <v>79</v>
      </c>
      <c r="E127" s="113" t="s">
        <v>58</v>
      </c>
      <c r="F127" s="114"/>
      <c r="G127" s="123">
        <v>46055</v>
      </c>
      <c r="H127" s="123">
        <v>46112</v>
      </c>
      <c r="I127" s="123"/>
      <c r="J127" s="99"/>
      <c r="K127" s="91"/>
      <c r="L127" s="91"/>
      <c r="M127" s="91"/>
      <c r="N127" s="91"/>
      <c r="O127" s="91"/>
      <c r="P127" s="91"/>
      <c r="Q127" s="91"/>
      <c r="R127" s="91"/>
      <c r="S127" s="91"/>
      <c r="T127" s="91"/>
      <c r="U127" s="91"/>
      <c r="V127" s="91"/>
    </row>
    <row r="128" spans="1:22" ht="57.75" customHeight="1" outlineLevel="1">
      <c r="A128" s="91"/>
      <c r="B128" s="98"/>
      <c r="C128" s="102"/>
      <c r="D128" s="108" t="s">
        <v>80</v>
      </c>
      <c r="E128" s="113" t="s">
        <v>60</v>
      </c>
      <c r="F128" s="114"/>
      <c r="G128" s="123">
        <v>46082</v>
      </c>
      <c r="H128" s="123">
        <v>46142</v>
      </c>
      <c r="I128" s="123"/>
      <c r="J128" s="99"/>
      <c r="K128" s="91"/>
      <c r="L128" s="91"/>
      <c r="M128" s="91"/>
      <c r="N128" s="91"/>
      <c r="O128" s="91"/>
      <c r="P128" s="91"/>
      <c r="Q128" s="91"/>
      <c r="R128" s="91"/>
      <c r="S128" s="91"/>
      <c r="T128" s="91"/>
      <c r="U128" s="91"/>
      <c r="V128" s="91"/>
    </row>
    <row r="129" spans="1:22" ht="29.25" outlineLevel="1">
      <c r="A129" s="91"/>
      <c r="B129" s="98"/>
      <c r="C129" s="102"/>
      <c r="D129" s="108" t="s">
        <v>81</v>
      </c>
      <c r="E129" s="113" t="s">
        <v>58</v>
      </c>
      <c r="F129" s="114"/>
      <c r="G129" s="123">
        <v>46082</v>
      </c>
      <c r="H129" s="123">
        <v>46142</v>
      </c>
      <c r="I129" s="123"/>
      <c r="J129" s="99"/>
      <c r="K129" s="91"/>
      <c r="L129" s="91"/>
      <c r="M129" s="91"/>
      <c r="N129" s="91"/>
      <c r="O129" s="91"/>
      <c r="P129" s="91"/>
      <c r="Q129" s="91"/>
      <c r="R129" s="91"/>
      <c r="S129" s="91"/>
      <c r="T129" s="91"/>
      <c r="U129" s="91"/>
      <c r="V129" s="91"/>
    </row>
    <row r="130" spans="1:22" ht="54" customHeight="1" outlineLevel="1">
      <c r="A130" s="91"/>
      <c r="B130" s="98"/>
      <c r="C130" s="102"/>
      <c r="D130" s="108" t="s">
        <v>82</v>
      </c>
      <c r="E130" s="113" t="s">
        <v>60</v>
      </c>
      <c r="F130" s="114"/>
      <c r="G130" s="123">
        <v>46113</v>
      </c>
      <c r="H130" s="123">
        <v>46234</v>
      </c>
      <c r="I130" s="123"/>
      <c r="J130" s="99"/>
      <c r="K130" s="91"/>
      <c r="L130" s="91"/>
      <c r="M130" s="91"/>
      <c r="N130" s="91"/>
      <c r="O130" s="91"/>
      <c r="P130" s="91"/>
      <c r="Q130" s="91"/>
      <c r="R130" s="91"/>
      <c r="S130" s="91"/>
      <c r="T130" s="91"/>
      <c r="U130" s="91"/>
      <c r="V130" s="91"/>
    </row>
    <row r="131" spans="1:22" ht="54" customHeight="1" outlineLevel="1">
      <c r="A131" s="91"/>
      <c r="B131" s="98"/>
      <c r="C131" s="102"/>
      <c r="D131" s="210" t="s">
        <v>83</v>
      </c>
      <c r="E131" s="113" t="s">
        <v>60</v>
      </c>
      <c r="F131" s="114"/>
      <c r="G131" s="123">
        <v>46113</v>
      </c>
      <c r="H131" s="123">
        <v>46234</v>
      </c>
      <c r="I131" s="123"/>
      <c r="J131" s="99"/>
      <c r="K131" s="91"/>
      <c r="L131" s="91"/>
      <c r="M131" s="91"/>
      <c r="N131" s="91"/>
      <c r="O131" s="91"/>
      <c r="P131" s="91"/>
      <c r="Q131" s="91"/>
      <c r="R131" s="91"/>
      <c r="S131" s="91"/>
      <c r="T131" s="91"/>
      <c r="U131" s="91"/>
      <c r="V131" s="91"/>
    </row>
    <row r="132" spans="1:22" ht="54" customHeight="1" outlineLevel="1">
      <c r="A132" s="91"/>
      <c r="B132" s="98"/>
      <c r="C132" s="102"/>
      <c r="D132" s="108" t="s">
        <v>84</v>
      </c>
      <c r="E132" s="113" t="s">
        <v>60</v>
      </c>
      <c r="F132" s="114"/>
      <c r="G132" s="123">
        <v>46204</v>
      </c>
      <c r="H132" s="123">
        <v>46295</v>
      </c>
      <c r="I132" s="123"/>
      <c r="J132" s="99"/>
      <c r="K132" s="91"/>
      <c r="L132" s="91"/>
      <c r="M132" s="91"/>
      <c r="N132" s="91"/>
      <c r="O132" s="91"/>
      <c r="P132" s="91"/>
      <c r="Q132" s="91"/>
      <c r="R132" s="91"/>
      <c r="S132" s="91"/>
      <c r="T132" s="91"/>
      <c r="U132" s="91"/>
      <c r="V132" s="91"/>
    </row>
    <row r="133" spans="1:22" ht="54" customHeight="1" outlineLevel="1">
      <c r="A133" s="91"/>
      <c r="B133" s="98"/>
      <c r="C133" s="102"/>
      <c r="D133" s="210" t="s">
        <v>85</v>
      </c>
      <c r="E133" s="113" t="s">
        <v>60</v>
      </c>
      <c r="F133" s="114"/>
      <c r="G133" s="123">
        <v>46235</v>
      </c>
      <c r="H133" s="123">
        <v>46326</v>
      </c>
      <c r="I133" s="123"/>
      <c r="J133" s="99"/>
      <c r="K133" s="91"/>
      <c r="L133" s="91"/>
      <c r="M133" s="91"/>
      <c r="N133" s="91"/>
      <c r="O133" s="91"/>
      <c r="P133" s="91"/>
      <c r="Q133" s="91"/>
      <c r="R133" s="91"/>
      <c r="S133" s="91"/>
      <c r="T133" s="91"/>
      <c r="U133" s="91"/>
      <c r="V133" s="91"/>
    </row>
    <row r="134" spans="1:22" hidden="1" outlineLevel="1">
      <c r="A134" s="91"/>
      <c r="B134" s="98"/>
      <c r="C134" s="102"/>
      <c r="D134" s="108"/>
      <c r="E134" s="113"/>
      <c r="F134" s="114"/>
      <c r="G134" s="123"/>
      <c r="H134" s="123"/>
      <c r="I134" s="123"/>
      <c r="J134" s="99"/>
      <c r="K134" s="91"/>
      <c r="L134" s="91"/>
      <c r="M134" s="91"/>
      <c r="N134" s="91"/>
      <c r="O134" s="91"/>
      <c r="P134" s="91"/>
      <c r="Q134" s="91"/>
      <c r="R134" s="91"/>
      <c r="S134" s="91"/>
      <c r="T134" s="91"/>
      <c r="U134" s="91"/>
      <c r="V134" s="91"/>
    </row>
    <row r="135" spans="1:22" hidden="1" outlineLevel="1">
      <c r="A135" s="91"/>
      <c r="B135" s="98"/>
      <c r="C135" s="102"/>
      <c r="D135" s="141"/>
      <c r="E135" s="113"/>
      <c r="F135" s="114"/>
      <c r="G135" s="123"/>
      <c r="H135" s="123"/>
      <c r="I135" s="123"/>
      <c r="J135" s="99"/>
      <c r="K135" s="91"/>
      <c r="L135" s="91"/>
      <c r="M135" s="91"/>
      <c r="N135" s="91"/>
      <c r="O135" s="91"/>
      <c r="P135" s="91"/>
      <c r="Q135" s="91"/>
      <c r="R135" s="91"/>
      <c r="S135" s="91"/>
      <c r="T135" s="91"/>
      <c r="U135" s="91"/>
      <c r="V135" s="91"/>
    </row>
    <row r="136" spans="1:22" ht="14.45" hidden="1" outlineLevel="1">
      <c r="A136" s="91"/>
      <c r="B136" s="98"/>
      <c r="C136" s="102"/>
      <c r="D136" s="108"/>
      <c r="E136" s="113"/>
      <c r="F136" s="114"/>
      <c r="G136" s="123"/>
      <c r="H136" s="123"/>
      <c r="I136" s="123"/>
      <c r="J136" s="99"/>
      <c r="K136" s="91"/>
      <c r="L136" s="91"/>
      <c r="M136" s="91"/>
      <c r="N136" s="91"/>
      <c r="O136" s="91"/>
      <c r="P136" s="91"/>
      <c r="Q136" s="91"/>
      <c r="R136" s="91"/>
      <c r="S136" s="91"/>
      <c r="T136" s="91"/>
      <c r="U136" s="91"/>
      <c r="V136" s="91"/>
    </row>
    <row r="137" spans="1:22" ht="14.45" hidden="1" outlineLevel="1">
      <c r="A137" s="91"/>
      <c r="B137" s="98"/>
      <c r="C137" s="102"/>
      <c r="D137" s="108"/>
      <c r="E137" s="113"/>
      <c r="F137" s="114"/>
      <c r="G137" s="123"/>
      <c r="H137" s="123"/>
      <c r="I137" s="123"/>
      <c r="J137" s="99"/>
      <c r="K137" s="91"/>
      <c r="L137" s="91"/>
      <c r="M137" s="91"/>
      <c r="N137" s="91"/>
      <c r="O137" s="91"/>
      <c r="P137" s="91"/>
      <c r="Q137" s="91"/>
      <c r="R137" s="91"/>
      <c r="S137" s="91"/>
      <c r="T137" s="91"/>
      <c r="U137" s="91"/>
      <c r="V137" s="91"/>
    </row>
    <row r="138" spans="1:22" ht="4.5" customHeight="1" outlineLevel="1">
      <c r="A138" s="91"/>
      <c r="B138" s="98"/>
      <c r="C138" s="102"/>
      <c r="D138" s="102"/>
      <c r="E138" s="102"/>
      <c r="F138" s="103"/>
      <c r="G138" s="103"/>
      <c r="H138" s="103"/>
      <c r="I138" s="103"/>
      <c r="J138" s="99"/>
      <c r="K138" s="91"/>
      <c r="L138" s="91"/>
      <c r="M138" s="91"/>
      <c r="N138" s="91"/>
      <c r="O138" s="91"/>
      <c r="P138" s="91"/>
      <c r="Q138" s="91"/>
      <c r="R138" s="91"/>
      <c r="S138" s="91"/>
      <c r="T138" s="91"/>
      <c r="U138" s="91"/>
      <c r="V138" s="91"/>
    </row>
    <row r="139" spans="1:22" ht="12" customHeight="1">
      <c r="A139" s="91"/>
      <c r="B139" s="98"/>
      <c r="C139" s="115"/>
      <c r="D139" s="115"/>
      <c r="E139" s="115"/>
      <c r="F139" s="116"/>
      <c r="G139" s="116"/>
      <c r="H139" s="116"/>
      <c r="I139" s="116"/>
      <c r="J139" s="99"/>
      <c r="K139" s="91"/>
      <c r="L139" s="91"/>
      <c r="M139" s="91"/>
      <c r="N139" s="91"/>
      <c r="O139" s="91"/>
      <c r="P139" s="91"/>
      <c r="Q139" s="91"/>
      <c r="R139" s="91"/>
      <c r="S139" s="91"/>
      <c r="T139" s="91"/>
      <c r="U139" s="91"/>
      <c r="V139" s="91"/>
    </row>
    <row r="140" spans="1:22" ht="12" customHeight="1">
      <c r="A140" s="91"/>
      <c r="B140" s="98"/>
      <c r="C140" s="238" t="s">
        <v>86</v>
      </c>
      <c r="D140" s="238"/>
      <c r="E140" s="238"/>
      <c r="F140" s="238"/>
      <c r="G140" s="238"/>
      <c r="H140" s="238"/>
      <c r="I140" s="238"/>
      <c r="J140" s="99"/>
      <c r="K140" s="91"/>
      <c r="L140" s="91"/>
      <c r="M140" s="91"/>
      <c r="N140" s="91"/>
      <c r="O140" s="91"/>
      <c r="P140" s="91"/>
      <c r="Q140" s="91"/>
      <c r="R140" s="91"/>
      <c r="S140" s="91"/>
      <c r="T140" s="91"/>
      <c r="U140" s="91"/>
      <c r="V140" s="91"/>
    </row>
    <row r="141" spans="1:22" ht="2.4500000000000002" customHeight="1">
      <c r="A141" s="91"/>
      <c r="B141" s="98"/>
      <c r="C141" s="100"/>
      <c r="D141" s="91"/>
      <c r="E141" s="91"/>
      <c r="F141" s="92"/>
      <c r="G141" s="92"/>
      <c r="H141" s="92"/>
      <c r="I141" s="92"/>
      <c r="J141" s="99"/>
      <c r="K141" s="91"/>
      <c r="L141" s="91"/>
      <c r="M141" s="91"/>
      <c r="N141" s="91"/>
      <c r="O141" s="91"/>
      <c r="P141" s="91"/>
      <c r="Q141" s="91"/>
      <c r="R141" s="91"/>
      <c r="S141" s="91"/>
      <c r="T141" s="91"/>
      <c r="U141" s="91"/>
      <c r="V141" s="91"/>
    </row>
    <row r="142" spans="1:22" ht="33.950000000000003" customHeight="1">
      <c r="A142" s="91"/>
      <c r="B142" s="98"/>
      <c r="C142" s="118" t="s">
        <v>3</v>
      </c>
      <c r="D142" s="226" t="s">
        <v>87</v>
      </c>
      <c r="E142" s="227"/>
      <c r="F142" s="227"/>
      <c r="G142" s="227"/>
      <c r="H142" s="227"/>
      <c r="I142" s="228"/>
      <c r="J142" s="99"/>
      <c r="K142" s="91"/>
      <c r="L142" s="91"/>
      <c r="M142" s="91"/>
      <c r="N142" s="91"/>
      <c r="O142" s="91"/>
      <c r="P142" s="91"/>
      <c r="Q142" s="91"/>
      <c r="R142" s="91"/>
      <c r="S142" s="91"/>
      <c r="T142" s="91"/>
      <c r="U142" s="91"/>
      <c r="V142" s="91"/>
    </row>
    <row r="143" spans="1:22" ht="6.6" customHeight="1">
      <c r="A143" s="91"/>
      <c r="B143" s="98"/>
      <c r="C143" s="91"/>
      <c r="D143" s="91"/>
      <c r="E143" s="91"/>
      <c r="F143" s="92"/>
      <c r="G143" s="92"/>
      <c r="H143" s="92"/>
      <c r="I143" s="92"/>
      <c r="J143" s="99"/>
      <c r="K143" s="91"/>
      <c r="L143" s="91"/>
      <c r="M143" s="91"/>
      <c r="N143" s="91"/>
      <c r="O143" s="91"/>
      <c r="P143" s="91"/>
      <c r="Q143" s="91"/>
      <c r="R143" s="91"/>
      <c r="S143" s="91"/>
      <c r="T143" s="91"/>
      <c r="U143" s="91"/>
      <c r="V143" s="91"/>
    </row>
    <row r="144" spans="1:22" ht="17.100000000000001" customHeight="1">
      <c r="A144" s="91"/>
      <c r="B144" s="98"/>
      <c r="C144" s="220" t="s">
        <v>5</v>
      </c>
      <c r="D144" s="220"/>
      <c r="E144" s="91"/>
      <c r="F144" s="92"/>
      <c r="G144" s="92"/>
      <c r="H144" s="92"/>
      <c r="I144" s="92"/>
      <c r="J144" s="99"/>
      <c r="K144" s="91"/>
      <c r="L144" s="91"/>
      <c r="M144" s="91"/>
      <c r="N144" s="91"/>
      <c r="O144" s="91"/>
      <c r="P144" s="91"/>
      <c r="Q144" s="91"/>
      <c r="R144" s="91"/>
      <c r="S144" s="91"/>
      <c r="T144" s="91"/>
      <c r="U144" s="91"/>
      <c r="V144" s="91"/>
    </row>
    <row r="145" spans="1:22" ht="6.6" customHeight="1">
      <c r="A145" s="91"/>
      <c r="B145" s="98"/>
      <c r="D145" s="91"/>
      <c r="E145" s="91"/>
      <c r="F145" s="92"/>
      <c r="G145" s="92"/>
      <c r="H145" s="92"/>
      <c r="I145" s="92"/>
      <c r="J145" s="99"/>
      <c r="K145" s="91"/>
      <c r="L145" s="91"/>
      <c r="M145" s="91"/>
      <c r="N145" s="91"/>
      <c r="O145" s="91"/>
      <c r="P145" s="91"/>
      <c r="Q145" s="91"/>
      <c r="R145" s="91"/>
      <c r="S145" s="91"/>
      <c r="T145" s="91"/>
      <c r="U145" s="91"/>
      <c r="V145" s="91"/>
    </row>
    <row r="146" spans="1:22" ht="35.450000000000003" customHeight="1">
      <c r="A146" s="91"/>
      <c r="B146" s="98"/>
      <c r="C146" s="217" t="s">
        <v>88</v>
      </c>
      <c r="D146" s="218"/>
      <c r="E146" s="218"/>
      <c r="F146" s="218"/>
      <c r="G146" s="218"/>
      <c r="H146" s="218"/>
      <c r="I146" s="219"/>
      <c r="J146" s="99"/>
      <c r="K146" s="91"/>
      <c r="L146" s="91"/>
      <c r="M146" s="91"/>
      <c r="N146" s="91"/>
      <c r="O146" s="91"/>
      <c r="P146" s="91"/>
      <c r="Q146" s="91"/>
      <c r="R146" s="91"/>
      <c r="S146" s="91"/>
      <c r="T146" s="91"/>
      <c r="U146" s="91"/>
      <c r="V146" s="91"/>
    </row>
    <row r="147" spans="1:22" ht="6.6" customHeight="1">
      <c r="A147" s="91"/>
      <c r="B147" s="98"/>
      <c r="C147" s="91"/>
      <c r="D147" s="91"/>
      <c r="E147" s="91"/>
      <c r="F147" s="92"/>
      <c r="G147" s="92"/>
      <c r="H147" s="92"/>
      <c r="I147" s="92"/>
      <c r="J147" s="99"/>
      <c r="K147" s="91"/>
      <c r="L147" s="91"/>
      <c r="M147" s="91"/>
      <c r="N147" s="91"/>
      <c r="O147" s="91"/>
      <c r="P147" s="91"/>
      <c r="Q147" s="91"/>
      <c r="R147" s="91"/>
      <c r="S147" s="91"/>
      <c r="T147" s="91"/>
      <c r="U147" s="91"/>
      <c r="V147" s="91"/>
    </row>
    <row r="148" spans="1:22" ht="17.100000000000001" customHeight="1">
      <c r="A148" s="91"/>
      <c r="B148" s="98"/>
      <c r="C148" s="220" t="s">
        <v>7</v>
      </c>
      <c r="D148" s="220"/>
      <c r="E148" s="91"/>
      <c r="F148" s="92"/>
      <c r="G148" s="92"/>
      <c r="H148" s="92"/>
      <c r="I148" s="92"/>
      <c r="J148" s="99"/>
      <c r="K148" s="91"/>
      <c r="L148" s="91"/>
      <c r="M148" s="91"/>
      <c r="N148" s="91"/>
      <c r="O148" s="91"/>
      <c r="P148" s="91"/>
      <c r="Q148" s="91"/>
      <c r="R148" s="91"/>
      <c r="S148" s="91"/>
      <c r="T148" s="91"/>
      <c r="U148" s="91"/>
      <c r="V148" s="91"/>
    </row>
    <row r="149" spans="1:22" ht="6.6" customHeight="1">
      <c r="A149" s="91"/>
      <c r="B149" s="98"/>
      <c r="D149" s="91"/>
      <c r="E149" s="91"/>
      <c r="F149" s="92"/>
      <c r="G149" s="92"/>
      <c r="H149" s="92"/>
      <c r="I149" s="92"/>
      <c r="J149" s="99"/>
      <c r="K149" s="91"/>
      <c r="L149" s="91"/>
      <c r="M149" s="91"/>
      <c r="N149" s="91"/>
      <c r="O149" s="91"/>
      <c r="P149" s="91"/>
      <c r="Q149" s="91"/>
      <c r="R149" s="91"/>
      <c r="S149" s="91"/>
      <c r="T149" s="91"/>
      <c r="U149" s="91"/>
      <c r="V149" s="91"/>
    </row>
    <row r="150" spans="1:22" ht="53.45" customHeight="1">
      <c r="A150" s="91"/>
      <c r="B150" s="98"/>
      <c r="C150" s="221" t="s">
        <v>89</v>
      </c>
      <c r="D150" s="222"/>
      <c r="E150" s="222"/>
      <c r="F150" s="222"/>
      <c r="G150" s="222"/>
      <c r="H150" s="222"/>
      <c r="I150" s="223"/>
      <c r="J150" s="99"/>
      <c r="K150" s="91"/>
      <c r="L150" s="91"/>
      <c r="M150" s="91"/>
      <c r="N150" s="91"/>
      <c r="O150" s="91"/>
      <c r="P150" s="91"/>
      <c r="Q150" s="91"/>
      <c r="R150" s="91"/>
      <c r="S150" s="91"/>
      <c r="T150" s="91"/>
      <c r="U150" s="91"/>
      <c r="V150" s="91"/>
    </row>
    <row r="151" spans="1:22" ht="12" customHeight="1">
      <c r="A151" s="91"/>
      <c r="B151" s="98"/>
      <c r="C151" s="91"/>
      <c r="D151" s="91"/>
      <c r="E151" s="91"/>
      <c r="F151" s="92"/>
      <c r="G151" s="92"/>
      <c r="H151" s="92"/>
      <c r="I151" s="92"/>
      <c r="J151" s="99"/>
      <c r="K151" s="91"/>
      <c r="L151" s="91"/>
      <c r="M151" s="91"/>
      <c r="N151" s="91"/>
      <c r="O151" s="91"/>
      <c r="P151" s="91"/>
      <c r="Q151" s="91"/>
      <c r="R151" s="91"/>
      <c r="S151" s="91"/>
      <c r="T151" s="91"/>
      <c r="U151" s="91"/>
      <c r="V151" s="91"/>
    </row>
    <row r="152" spans="1:22" ht="82.5" customHeight="1">
      <c r="A152" s="91"/>
      <c r="B152" s="98"/>
      <c r="C152" s="208" t="s">
        <v>9</v>
      </c>
      <c r="D152" s="224" t="s">
        <v>90</v>
      </c>
      <c r="E152" s="213"/>
      <c r="F152" s="225" t="s">
        <v>91</v>
      </c>
      <c r="G152" s="215"/>
      <c r="H152" s="215"/>
      <c r="I152" s="216"/>
      <c r="J152" s="99"/>
      <c r="K152" s="91"/>
      <c r="L152" s="91"/>
      <c r="M152" s="91"/>
      <c r="N152" s="91"/>
      <c r="O152" s="91"/>
      <c r="P152" s="91"/>
      <c r="Q152" s="91"/>
      <c r="R152" s="91"/>
      <c r="S152" s="91"/>
      <c r="T152" s="91"/>
      <c r="U152" s="91"/>
      <c r="V152" s="91"/>
    </row>
    <row r="153" spans="1:22" s="104" customFormat="1" ht="4.5" customHeight="1" outlineLevel="1">
      <c r="A153" s="91"/>
      <c r="B153" s="98"/>
      <c r="C153" s="102"/>
      <c r="D153" s="102"/>
      <c r="E153" s="102"/>
      <c r="F153" s="102"/>
      <c r="G153" s="102"/>
      <c r="H153" s="103"/>
      <c r="I153" s="103"/>
      <c r="J153" s="99"/>
      <c r="K153" s="91"/>
      <c r="L153" s="91"/>
      <c r="M153" s="91"/>
      <c r="N153" s="91"/>
      <c r="O153" s="91"/>
      <c r="P153" s="91"/>
      <c r="Q153" s="91"/>
      <c r="R153" s="91"/>
      <c r="S153" s="91"/>
      <c r="T153" s="91"/>
      <c r="U153" s="91"/>
      <c r="V153" s="91"/>
    </row>
    <row r="154" spans="1:22" ht="38.450000000000003" customHeight="1" outlineLevel="1">
      <c r="A154" s="91"/>
      <c r="B154" s="98"/>
      <c r="C154" s="105"/>
      <c r="D154" s="106" t="s">
        <v>12</v>
      </c>
      <c r="E154" s="110" t="s">
        <v>13</v>
      </c>
      <c r="F154" s="110" t="s">
        <v>14</v>
      </c>
      <c r="G154" s="110" t="s">
        <v>15</v>
      </c>
      <c r="H154" s="110" t="s">
        <v>16</v>
      </c>
      <c r="I154" s="110" t="s">
        <v>17</v>
      </c>
      <c r="J154" s="99"/>
      <c r="K154" s="91"/>
      <c r="L154" s="91"/>
      <c r="M154" s="91"/>
      <c r="N154" s="91"/>
      <c r="O154" s="91"/>
      <c r="P154" s="91"/>
      <c r="Q154" s="91"/>
      <c r="R154" s="91"/>
      <c r="S154" s="91"/>
      <c r="T154" s="91"/>
      <c r="U154" s="91"/>
      <c r="V154" s="91"/>
    </row>
    <row r="155" spans="1:22" ht="38.450000000000003" customHeight="1" outlineLevel="1">
      <c r="A155" s="91"/>
      <c r="B155" s="98"/>
      <c r="C155" s="105"/>
      <c r="D155" s="146" t="s">
        <v>92</v>
      </c>
      <c r="E155" s="147" t="s">
        <v>93</v>
      </c>
      <c r="F155" s="148"/>
      <c r="G155" s="144">
        <v>46055</v>
      </c>
      <c r="H155" s="144">
        <v>46080</v>
      </c>
      <c r="I155" s="144"/>
      <c r="J155" s="99"/>
      <c r="K155" s="91"/>
      <c r="L155" s="91"/>
      <c r="M155" s="91"/>
      <c r="N155" s="91"/>
      <c r="O155" s="91"/>
      <c r="P155" s="91"/>
      <c r="Q155" s="91"/>
      <c r="R155" s="91"/>
      <c r="S155" s="91"/>
      <c r="T155" s="91"/>
      <c r="U155" s="91"/>
      <c r="V155" s="91"/>
    </row>
    <row r="156" spans="1:22" ht="53.25" customHeight="1" outlineLevel="1">
      <c r="A156" s="91"/>
      <c r="B156" s="98"/>
      <c r="C156" s="102"/>
      <c r="D156" s="145" t="s">
        <v>94</v>
      </c>
      <c r="E156" s="113" t="s">
        <v>95</v>
      </c>
      <c r="F156" s="117"/>
      <c r="G156" s="144">
        <v>46055</v>
      </c>
      <c r="H156" s="124">
        <v>46203</v>
      </c>
      <c r="I156" s="124"/>
      <c r="J156" s="99"/>
      <c r="K156" s="91"/>
      <c r="L156" s="91"/>
      <c r="M156" s="91"/>
      <c r="N156" s="91"/>
      <c r="O156" s="91"/>
      <c r="P156" s="91"/>
      <c r="Q156" s="91"/>
      <c r="R156" s="91"/>
      <c r="S156" s="91"/>
      <c r="T156" s="91"/>
      <c r="U156" s="91"/>
      <c r="V156" s="91"/>
    </row>
    <row r="157" spans="1:22" outlineLevel="1">
      <c r="A157" s="91"/>
      <c r="B157" s="98"/>
      <c r="C157" s="102"/>
      <c r="D157" s="145" t="s">
        <v>96</v>
      </c>
      <c r="E157" s="113" t="s">
        <v>97</v>
      </c>
      <c r="F157" s="117"/>
      <c r="G157" s="144">
        <v>46055</v>
      </c>
      <c r="H157" s="144">
        <v>46203</v>
      </c>
      <c r="I157" s="124"/>
      <c r="J157" s="99"/>
      <c r="K157" s="91"/>
      <c r="L157" s="91"/>
      <c r="M157" s="91"/>
      <c r="N157" s="91"/>
      <c r="O157" s="91"/>
      <c r="P157" s="91"/>
      <c r="Q157" s="91"/>
      <c r="R157" s="91"/>
      <c r="S157" s="91"/>
      <c r="T157" s="91"/>
      <c r="U157" s="91"/>
      <c r="V157" s="91"/>
    </row>
    <row r="158" spans="1:22" ht="30.75" outlineLevel="1">
      <c r="A158" s="91"/>
      <c r="B158" s="98"/>
      <c r="C158" s="102"/>
      <c r="D158" s="145" t="s">
        <v>98</v>
      </c>
      <c r="E158" s="113" t="s">
        <v>97</v>
      </c>
      <c r="F158" s="117"/>
      <c r="G158" s="144">
        <v>46055</v>
      </c>
      <c r="H158" s="124">
        <v>46203</v>
      </c>
      <c r="I158" s="124"/>
      <c r="J158" s="99"/>
      <c r="K158" s="91"/>
      <c r="L158" s="91"/>
      <c r="M158" s="91"/>
      <c r="N158" s="91"/>
      <c r="O158" s="91"/>
      <c r="P158" s="91"/>
      <c r="Q158" s="91"/>
      <c r="R158" s="91"/>
      <c r="S158" s="91"/>
      <c r="T158" s="91"/>
      <c r="U158" s="91"/>
      <c r="V158" s="91"/>
    </row>
    <row r="159" spans="1:22" outlineLevel="1">
      <c r="A159" s="91"/>
      <c r="B159" s="98"/>
      <c r="C159" s="102"/>
      <c r="D159" s="145" t="s">
        <v>99</v>
      </c>
      <c r="E159" s="113" t="s">
        <v>97</v>
      </c>
      <c r="F159" s="117"/>
      <c r="G159" s="144">
        <v>46055</v>
      </c>
      <c r="H159" s="124">
        <v>46203</v>
      </c>
      <c r="I159" s="124"/>
      <c r="J159" s="99"/>
      <c r="K159" s="91"/>
      <c r="L159" s="91"/>
      <c r="M159" s="91"/>
      <c r="N159" s="91"/>
      <c r="O159" s="91"/>
      <c r="P159" s="91"/>
      <c r="Q159" s="91"/>
      <c r="R159" s="91"/>
      <c r="S159" s="91"/>
      <c r="T159" s="91"/>
      <c r="U159" s="91"/>
      <c r="V159" s="91"/>
    </row>
    <row r="160" spans="1:22" ht="30.75" outlineLevel="1">
      <c r="A160" s="91"/>
      <c r="B160" s="98"/>
      <c r="C160" s="102"/>
      <c r="D160" s="145" t="s">
        <v>100</v>
      </c>
      <c r="E160" s="113" t="s">
        <v>97</v>
      </c>
      <c r="F160" s="117"/>
      <c r="G160" s="124">
        <v>46204</v>
      </c>
      <c r="H160" s="124">
        <v>46326</v>
      </c>
      <c r="I160" s="124"/>
      <c r="J160" s="99"/>
      <c r="K160" s="91"/>
      <c r="L160" s="91"/>
      <c r="M160" s="91"/>
      <c r="N160" s="91"/>
      <c r="O160" s="91"/>
      <c r="P160" s="91"/>
      <c r="Q160" s="91"/>
      <c r="R160" s="91"/>
      <c r="S160" s="91"/>
      <c r="T160" s="91"/>
      <c r="U160" s="91"/>
      <c r="V160" s="91"/>
    </row>
    <row r="161" spans="1:22" ht="30.75" outlineLevel="1">
      <c r="A161" s="91"/>
      <c r="B161" s="98"/>
      <c r="C161" s="102"/>
      <c r="D161" s="145" t="s">
        <v>101</v>
      </c>
      <c r="E161" s="113" t="s">
        <v>97</v>
      </c>
      <c r="F161" s="117"/>
      <c r="G161" s="124">
        <v>46204</v>
      </c>
      <c r="H161" s="124">
        <v>46326</v>
      </c>
      <c r="I161" s="124"/>
      <c r="J161" s="99"/>
      <c r="K161" s="91"/>
      <c r="L161" s="91"/>
      <c r="M161" s="91"/>
      <c r="N161" s="91"/>
      <c r="O161" s="91"/>
      <c r="P161" s="91"/>
      <c r="Q161" s="91"/>
      <c r="R161" s="91"/>
      <c r="S161" s="91"/>
      <c r="T161" s="91"/>
      <c r="U161" s="91"/>
      <c r="V161" s="91"/>
    </row>
    <row r="162" spans="1:22" outlineLevel="1">
      <c r="A162" s="91"/>
      <c r="B162" s="98"/>
      <c r="C162" s="102"/>
      <c r="D162" s="145" t="s">
        <v>102</v>
      </c>
      <c r="E162" s="113" t="s">
        <v>97</v>
      </c>
      <c r="F162" s="117"/>
      <c r="G162" s="124">
        <v>46204</v>
      </c>
      <c r="H162" s="124">
        <v>46326</v>
      </c>
      <c r="I162" s="124"/>
      <c r="J162" s="99"/>
      <c r="K162" s="91"/>
      <c r="L162" s="91"/>
      <c r="M162" s="91"/>
      <c r="N162" s="91"/>
      <c r="O162" s="91"/>
      <c r="P162" s="91"/>
      <c r="Q162" s="91"/>
      <c r="R162" s="91"/>
      <c r="S162" s="91"/>
      <c r="T162" s="91"/>
      <c r="U162" s="91"/>
      <c r="V162" s="91"/>
    </row>
    <row r="163" spans="1:22" ht="33.75" customHeight="1" outlineLevel="1">
      <c r="A163" s="91"/>
      <c r="B163" s="98"/>
      <c r="C163" s="102"/>
      <c r="D163" s="133" t="s">
        <v>103</v>
      </c>
      <c r="E163" s="113" t="s">
        <v>97</v>
      </c>
      <c r="F163" s="117"/>
      <c r="G163" s="124">
        <v>46204</v>
      </c>
      <c r="H163" s="124">
        <v>46326</v>
      </c>
      <c r="I163" s="124"/>
      <c r="J163" s="99"/>
      <c r="K163" s="91"/>
      <c r="L163" s="91"/>
      <c r="M163" s="91"/>
      <c r="N163" s="91"/>
      <c r="O163" s="91"/>
      <c r="P163" s="91"/>
      <c r="Q163" s="91"/>
      <c r="R163" s="91"/>
      <c r="S163" s="91"/>
      <c r="T163" s="91"/>
      <c r="U163" s="91"/>
      <c r="V163" s="91"/>
    </row>
    <row r="164" spans="1:22" ht="27" customHeight="1" outlineLevel="1">
      <c r="A164" s="91"/>
      <c r="B164" s="98"/>
      <c r="C164" s="102"/>
      <c r="D164" s="108" t="s">
        <v>104</v>
      </c>
      <c r="E164" s="113" t="s">
        <v>97</v>
      </c>
      <c r="F164" s="117"/>
      <c r="G164" s="124">
        <v>46204</v>
      </c>
      <c r="H164" s="124">
        <v>46326</v>
      </c>
      <c r="I164" s="124"/>
      <c r="J164" s="99"/>
      <c r="K164" s="91"/>
      <c r="L164" s="91"/>
      <c r="M164" s="91"/>
      <c r="N164" s="91"/>
      <c r="O164" s="91"/>
      <c r="P164" s="91"/>
      <c r="Q164" s="91"/>
      <c r="R164" s="91"/>
      <c r="S164" s="91"/>
      <c r="T164" s="91"/>
      <c r="U164" s="91"/>
      <c r="V164" s="91"/>
    </row>
    <row r="165" spans="1:22" ht="29.25" outlineLevel="1">
      <c r="A165" s="91"/>
      <c r="B165" s="98"/>
      <c r="C165" s="102"/>
      <c r="D165" s="108" t="s">
        <v>105</v>
      </c>
      <c r="E165" s="113" t="s">
        <v>97</v>
      </c>
      <c r="F165" s="117"/>
      <c r="G165" s="124">
        <v>46327</v>
      </c>
      <c r="H165" s="124">
        <v>46387</v>
      </c>
      <c r="I165" s="124"/>
      <c r="J165" s="99"/>
      <c r="K165" s="91"/>
      <c r="L165" s="91"/>
      <c r="M165" s="91"/>
      <c r="N165" s="91"/>
      <c r="O165" s="91"/>
      <c r="P165" s="91"/>
      <c r="Q165" s="91"/>
      <c r="R165" s="91"/>
      <c r="S165" s="91"/>
      <c r="T165" s="91"/>
      <c r="U165" s="91"/>
      <c r="V165" s="91"/>
    </row>
    <row r="166" spans="1:22" ht="29.25" outlineLevel="1">
      <c r="A166" s="91"/>
      <c r="B166" s="98"/>
      <c r="C166" s="102"/>
      <c r="D166" s="108" t="s">
        <v>106</v>
      </c>
      <c r="E166" s="113" t="s">
        <v>97</v>
      </c>
      <c r="F166" s="117"/>
      <c r="G166" s="124">
        <v>46327</v>
      </c>
      <c r="H166" s="124">
        <v>46387</v>
      </c>
      <c r="I166" s="124"/>
      <c r="J166" s="99"/>
      <c r="K166" s="91"/>
      <c r="L166" s="91"/>
      <c r="M166" s="91"/>
      <c r="N166" s="91"/>
      <c r="O166" s="91"/>
      <c r="P166" s="91"/>
      <c r="Q166" s="91"/>
      <c r="R166" s="91"/>
      <c r="S166" s="91"/>
      <c r="T166" s="91"/>
      <c r="U166" s="91"/>
      <c r="V166" s="91"/>
    </row>
    <row r="167" spans="1:22" ht="14.45" hidden="1" outlineLevel="1">
      <c r="A167" s="91"/>
      <c r="B167" s="98"/>
      <c r="C167" s="102"/>
      <c r="D167" s="108"/>
      <c r="E167" s="113"/>
      <c r="F167" s="117"/>
      <c r="G167" s="124"/>
      <c r="H167" s="124"/>
      <c r="I167" s="124"/>
      <c r="J167" s="99"/>
      <c r="K167" s="91"/>
      <c r="L167" s="91"/>
      <c r="M167" s="91"/>
      <c r="N167" s="91"/>
      <c r="O167" s="91"/>
      <c r="P167" s="91"/>
      <c r="Q167" s="91"/>
      <c r="R167" s="91"/>
      <c r="S167" s="91"/>
      <c r="T167" s="91"/>
      <c r="U167" s="91"/>
      <c r="V167" s="91"/>
    </row>
    <row r="168" spans="1:22" ht="14.45" hidden="1" outlineLevel="1">
      <c r="A168" s="91"/>
      <c r="B168" s="98"/>
      <c r="C168" s="102"/>
      <c r="D168" s="108"/>
      <c r="E168" s="113"/>
      <c r="F168" s="117"/>
      <c r="G168" s="124"/>
      <c r="H168" s="124"/>
      <c r="I168" s="124"/>
      <c r="J168" s="99"/>
      <c r="K168" s="91"/>
      <c r="L168" s="91"/>
      <c r="M168" s="91"/>
      <c r="N168" s="91"/>
      <c r="O168" s="91"/>
      <c r="P168" s="91"/>
      <c r="Q168" s="91"/>
      <c r="R168" s="91"/>
      <c r="S168" s="91"/>
      <c r="T168" s="91"/>
      <c r="U168" s="91"/>
      <c r="V168" s="91"/>
    </row>
    <row r="169" spans="1:22" ht="14.45" hidden="1" outlineLevel="1">
      <c r="A169" s="91"/>
      <c r="B169" s="98"/>
      <c r="C169" s="102"/>
      <c r="D169" s="108"/>
      <c r="E169" s="113"/>
      <c r="F169" s="117"/>
      <c r="G169" s="124"/>
      <c r="H169" s="124"/>
      <c r="I169" s="124"/>
      <c r="J169" s="99"/>
      <c r="K169" s="91"/>
      <c r="L169" s="91"/>
      <c r="M169" s="91"/>
      <c r="N169" s="91"/>
      <c r="O169" s="91"/>
      <c r="P169" s="91"/>
      <c r="Q169" s="91"/>
      <c r="R169" s="91"/>
      <c r="S169" s="91"/>
      <c r="T169" s="91"/>
      <c r="U169" s="91"/>
      <c r="V169" s="91"/>
    </row>
    <row r="170" spans="1:22" ht="4.5" customHeight="1" outlineLevel="1">
      <c r="A170" s="91"/>
      <c r="B170" s="98"/>
      <c r="C170" s="102"/>
      <c r="D170" s="102"/>
      <c r="E170" s="102"/>
      <c r="F170" s="102"/>
      <c r="G170" s="102"/>
      <c r="H170" s="102"/>
      <c r="I170" s="102"/>
      <c r="J170" s="99"/>
      <c r="K170" s="91"/>
      <c r="L170" s="91"/>
      <c r="M170" s="91"/>
      <c r="N170" s="91"/>
      <c r="O170" s="91"/>
      <c r="P170" s="91"/>
      <c r="Q170" s="91"/>
      <c r="R170" s="91"/>
      <c r="S170" s="91"/>
      <c r="T170" s="91"/>
      <c r="U170" s="91"/>
      <c r="V170" s="91"/>
    </row>
    <row r="171" spans="1:22" ht="80.45" customHeight="1">
      <c r="A171" s="91"/>
      <c r="B171" s="98"/>
      <c r="C171" s="209" t="s">
        <v>25</v>
      </c>
      <c r="D171" s="212" t="s">
        <v>107</v>
      </c>
      <c r="E171" s="213"/>
      <c r="F171" s="214" t="s">
        <v>108</v>
      </c>
      <c r="G171" s="215"/>
      <c r="H171" s="215"/>
      <c r="I171" s="216"/>
      <c r="J171" s="99"/>
      <c r="K171" s="91"/>
      <c r="L171" s="91"/>
      <c r="M171" s="91"/>
      <c r="N171" s="91"/>
      <c r="O171" s="91"/>
      <c r="P171" s="91"/>
      <c r="Q171" s="91"/>
      <c r="R171" s="91"/>
      <c r="S171" s="91"/>
      <c r="T171" s="91"/>
      <c r="U171" s="91"/>
      <c r="V171" s="91"/>
    </row>
    <row r="172" spans="1:22" ht="4.5" customHeight="1" outlineLevel="1">
      <c r="A172" s="91"/>
      <c r="B172" s="98"/>
      <c r="C172" s="102"/>
      <c r="D172" s="102"/>
      <c r="E172" s="102"/>
      <c r="F172" s="102"/>
      <c r="G172" s="102"/>
      <c r="H172" s="102"/>
      <c r="I172" s="102"/>
      <c r="J172" s="99"/>
      <c r="K172" s="91"/>
      <c r="L172" s="91"/>
      <c r="M172" s="91"/>
      <c r="N172" s="91"/>
      <c r="O172" s="91"/>
      <c r="P172" s="91"/>
      <c r="Q172" s="91"/>
      <c r="R172" s="91"/>
      <c r="S172" s="91"/>
      <c r="T172" s="91"/>
      <c r="U172" s="91"/>
      <c r="V172" s="91"/>
    </row>
    <row r="173" spans="1:22" ht="33.6" customHeight="1" outlineLevel="1">
      <c r="A173" s="91"/>
      <c r="B173" s="98"/>
      <c r="C173" s="105"/>
      <c r="D173" s="106" t="s">
        <v>12</v>
      </c>
      <c r="E173" s="110" t="s">
        <v>13</v>
      </c>
      <c r="F173" s="110" t="s">
        <v>14</v>
      </c>
      <c r="G173" s="110" t="s">
        <v>15</v>
      </c>
      <c r="H173" s="110" t="s">
        <v>16</v>
      </c>
      <c r="I173" s="110" t="s">
        <v>17</v>
      </c>
      <c r="J173" s="99"/>
      <c r="K173" s="91"/>
      <c r="L173" s="91"/>
      <c r="M173" s="91"/>
      <c r="N173" s="91"/>
      <c r="O173" s="91"/>
      <c r="P173" s="91"/>
      <c r="Q173" s="91"/>
      <c r="R173" s="91"/>
      <c r="S173" s="91"/>
      <c r="T173" s="91"/>
      <c r="U173" s="91"/>
      <c r="V173" s="91"/>
    </row>
    <row r="174" spans="1:22" ht="34.5" customHeight="1" outlineLevel="1">
      <c r="A174" s="91"/>
      <c r="B174" s="98"/>
      <c r="C174" s="102"/>
      <c r="D174" s="149" t="s">
        <v>109</v>
      </c>
      <c r="E174" s="117" t="s">
        <v>110</v>
      </c>
      <c r="F174" s="117"/>
      <c r="G174" s="124">
        <v>46055</v>
      </c>
      <c r="H174" s="124">
        <v>46112</v>
      </c>
      <c r="I174" s="124"/>
      <c r="J174" s="99"/>
      <c r="K174" s="91"/>
      <c r="L174" s="91"/>
      <c r="M174" s="91"/>
      <c r="N174" s="91"/>
      <c r="O174" s="91"/>
      <c r="P174" s="91"/>
      <c r="Q174" s="91"/>
      <c r="R174" s="91"/>
      <c r="S174" s="91"/>
      <c r="T174" s="91"/>
      <c r="U174" s="91"/>
      <c r="V174" s="91"/>
    </row>
    <row r="175" spans="1:22" ht="23.25" customHeight="1" outlineLevel="1">
      <c r="A175" s="91"/>
      <c r="B175" s="98"/>
      <c r="C175" s="102"/>
      <c r="D175" s="165" t="s">
        <v>111</v>
      </c>
      <c r="E175" s="117" t="s">
        <v>112</v>
      </c>
      <c r="F175" s="117"/>
      <c r="G175" s="124">
        <v>46055</v>
      </c>
      <c r="H175" s="124">
        <v>46112</v>
      </c>
      <c r="I175" s="124"/>
      <c r="J175" s="99"/>
      <c r="K175" s="91"/>
      <c r="L175" s="91"/>
      <c r="M175" s="91"/>
      <c r="N175" s="91"/>
      <c r="O175" s="91"/>
      <c r="P175" s="91"/>
      <c r="Q175" s="91"/>
      <c r="R175" s="91"/>
      <c r="S175" s="91"/>
      <c r="T175" s="91"/>
      <c r="U175" s="91"/>
      <c r="V175" s="91"/>
    </row>
    <row r="176" spans="1:22" ht="23.25" customHeight="1" outlineLevel="1">
      <c r="A176" s="91"/>
      <c r="B176" s="98"/>
      <c r="C176" s="102"/>
      <c r="D176" s="165" t="s">
        <v>113</v>
      </c>
      <c r="E176" s="117" t="s">
        <v>112</v>
      </c>
      <c r="F176" s="117"/>
      <c r="G176" s="124">
        <v>46055</v>
      </c>
      <c r="H176" s="124">
        <v>46112</v>
      </c>
      <c r="I176" s="124"/>
      <c r="J176" s="99"/>
      <c r="K176" s="91"/>
      <c r="L176" s="91"/>
      <c r="M176" s="91"/>
      <c r="N176" s="91"/>
      <c r="O176" s="91"/>
      <c r="P176" s="91"/>
      <c r="Q176" s="91"/>
      <c r="R176" s="91"/>
      <c r="S176" s="91"/>
      <c r="T176" s="91"/>
      <c r="U176" s="91"/>
      <c r="V176" s="91"/>
    </row>
    <row r="177" spans="1:22" ht="23.25" customHeight="1" outlineLevel="1">
      <c r="A177" s="91"/>
      <c r="B177" s="98"/>
      <c r="C177" s="102"/>
      <c r="D177" s="165" t="s">
        <v>114</v>
      </c>
      <c r="E177" s="150" t="s">
        <v>21</v>
      </c>
      <c r="F177" s="117"/>
      <c r="G177" s="124">
        <v>46055</v>
      </c>
      <c r="H177" s="124">
        <v>46112</v>
      </c>
      <c r="I177" s="124"/>
      <c r="J177" s="99"/>
      <c r="K177" s="91"/>
      <c r="L177" s="91"/>
      <c r="M177" s="91"/>
      <c r="N177" s="91"/>
      <c r="O177" s="91"/>
      <c r="P177" s="91"/>
      <c r="Q177" s="91"/>
      <c r="R177" s="91"/>
      <c r="S177" s="91"/>
      <c r="T177" s="91"/>
      <c r="U177" s="91"/>
      <c r="V177" s="91"/>
    </row>
    <row r="178" spans="1:22" ht="23.25" customHeight="1" outlineLevel="1">
      <c r="A178" s="91"/>
      <c r="B178" s="98"/>
      <c r="C178" s="102"/>
      <c r="D178" s="165" t="s">
        <v>115</v>
      </c>
      <c r="E178" s="150" t="s">
        <v>21</v>
      </c>
      <c r="F178" s="117"/>
      <c r="G178" s="124">
        <v>46055</v>
      </c>
      <c r="H178" s="124">
        <v>46112</v>
      </c>
      <c r="I178" s="124"/>
      <c r="J178" s="99"/>
      <c r="K178" s="91"/>
      <c r="L178" s="91"/>
      <c r="M178" s="91"/>
      <c r="N178" s="91"/>
      <c r="O178" s="91"/>
      <c r="P178" s="91"/>
      <c r="Q178" s="91"/>
      <c r="R178" s="91"/>
      <c r="S178" s="91"/>
      <c r="T178" s="91"/>
      <c r="U178" s="91"/>
      <c r="V178" s="91"/>
    </row>
    <row r="179" spans="1:22" ht="23.25" customHeight="1" outlineLevel="1">
      <c r="A179" s="91"/>
      <c r="B179" s="98"/>
      <c r="C179" s="102"/>
      <c r="D179" s="108" t="s">
        <v>116</v>
      </c>
      <c r="E179" s="113" t="s">
        <v>97</v>
      </c>
      <c r="F179" s="117"/>
      <c r="G179" s="124">
        <v>46055</v>
      </c>
      <c r="H179" s="124">
        <v>46265</v>
      </c>
      <c r="I179" s="124"/>
      <c r="J179" s="99"/>
      <c r="K179" s="91"/>
      <c r="L179" s="91"/>
      <c r="M179" s="91"/>
      <c r="N179" s="91"/>
      <c r="O179" s="91"/>
      <c r="P179" s="91"/>
      <c r="Q179" s="91"/>
      <c r="R179" s="91"/>
      <c r="S179" s="91"/>
      <c r="T179" s="91"/>
      <c r="U179" s="91"/>
      <c r="V179" s="91"/>
    </row>
    <row r="180" spans="1:22" ht="23.25" customHeight="1" outlineLevel="1">
      <c r="A180" s="91"/>
      <c r="B180" s="98"/>
      <c r="C180" s="102"/>
      <c r="D180" s="151" t="s">
        <v>117</v>
      </c>
      <c r="E180" s="152" t="s">
        <v>97</v>
      </c>
      <c r="F180" s="153"/>
      <c r="G180" s="124">
        <v>46055</v>
      </c>
      <c r="H180" s="124">
        <v>46265</v>
      </c>
      <c r="I180" s="124"/>
      <c r="J180" s="99"/>
      <c r="K180" s="91"/>
      <c r="L180" s="91"/>
      <c r="M180" s="91"/>
      <c r="N180" s="91"/>
      <c r="O180" s="91"/>
      <c r="P180" s="91"/>
      <c r="Q180" s="91"/>
      <c r="R180" s="91"/>
      <c r="S180" s="91"/>
      <c r="T180" s="91"/>
      <c r="U180" s="91"/>
      <c r="V180" s="91"/>
    </row>
    <row r="181" spans="1:22" ht="23.25" customHeight="1" outlineLevel="1">
      <c r="A181" s="91"/>
      <c r="B181" s="98"/>
      <c r="C181" s="102"/>
      <c r="D181" s="211" t="s">
        <v>118</v>
      </c>
      <c r="E181" s="113" t="s">
        <v>97</v>
      </c>
      <c r="F181" s="117"/>
      <c r="G181" s="124">
        <v>46055</v>
      </c>
      <c r="H181" s="124">
        <v>46265</v>
      </c>
      <c r="I181" s="124"/>
      <c r="J181" s="99"/>
      <c r="K181" s="91"/>
      <c r="L181" s="91"/>
      <c r="M181" s="91"/>
      <c r="N181" s="91"/>
      <c r="O181" s="91"/>
      <c r="P181" s="91"/>
      <c r="Q181" s="91"/>
      <c r="R181" s="91"/>
      <c r="S181" s="91"/>
      <c r="T181" s="91"/>
      <c r="U181" s="91"/>
      <c r="V181" s="91"/>
    </row>
    <row r="182" spans="1:22" ht="23.25" customHeight="1" outlineLevel="1">
      <c r="A182" s="91"/>
      <c r="B182" s="98"/>
      <c r="C182" s="102"/>
      <c r="D182" s="211" t="s">
        <v>119</v>
      </c>
      <c r="E182" s="113" t="s">
        <v>97</v>
      </c>
      <c r="F182" s="117"/>
      <c r="G182" s="124">
        <v>46055</v>
      </c>
      <c r="H182" s="124">
        <v>46265</v>
      </c>
      <c r="I182" s="124"/>
      <c r="J182" s="99"/>
      <c r="K182" s="91"/>
      <c r="L182" s="91"/>
      <c r="M182" s="91"/>
      <c r="N182" s="91"/>
      <c r="O182" s="91"/>
      <c r="P182" s="91"/>
      <c r="Q182" s="91"/>
      <c r="R182" s="91"/>
      <c r="S182" s="91"/>
      <c r="T182" s="91"/>
      <c r="U182" s="91"/>
      <c r="V182" s="91"/>
    </row>
    <row r="183" spans="1:22" ht="23.25" customHeight="1" outlineLevel="1">
      <c r="A183" s="91"/>
      <c r="B183" s="98"/>
      <c r="C183" s="102"/>
      <c r="D183" s="211" t="s">
        <v>120</v>
      </c>
      <c r="E183" s="113" t="s">
        <v>97</v>
      </c>
      <c r="F183" s="117"/>
      <c r="G183" s="124">
        <v>46055</v>
      </c>
      <c r="H183" s="124">
        <v>46265</v>
      </c>
      <c r="I183" s="124"/>
      <c r="J183" s="99"/>
      <c r="K183" s="91"/>
      <c r="L183" s="91"/>
      <c r="M183" s="91"/>
      <c r="N183" s="91"/>
      <c r="O183" s="91"/>
      <c r="P183" s="91"/>
      <c r="Q183" s="91"/>
      <c r="R183" s="91"/>
      <c r="S183" s="91"/>
      <c r="T183" s="91"/>
      <c r="U183" s="91"/>
      <c r="V183" s="91"/>
    </row>
    <row r="184" spans="1:22" ht="23.25" customHeight="1" outlineLevel="1">
      <c r="A184" s="91"/>
      <c r="B184" s="98"/>
      <c r="C184" s="102"/>
      <c r="D184" s="211" t="s">
        <v>121</v>
      </c>
      <c r="E184" s="113" t="s">
        <v>97</v>
      </c>
      <c r="F184" s="117"/>
      <c r="G184" s="124">
        <v>46055</v>
      </c>
      <c r="H184" s="124">
        <v>46265</v>
      </c>
      <c r="I184" s="124"/>
      <c r="J184" s="99"/>
      <c r="K184" s="91"/>
      <c r="L184" s="91"/>
      <c r="M184" s="91"/>
      <c r="N184" s="91"/>
      <c r="O184" s="91"/>
      <c r="P184" s="91"/>
      <c r="Q184" s="91"/>
      <c r="R184" s="91"/>
      <c r="S184" s="91"/>
      <c r="T184" s="91"/>
      <c r="U184" s="91"/>
      <c r="V184" s="91"/>
    </row>
    <row r="185" spans="1:22" ht="33.75" customHeight="1" outlineLevel="1">
      <c r="A185" s="91"/>
      <c r="B185" s="98"/>
      <c r="C185" s="102"/>
      <c r="D185" s="211" t="s">
        <v>122</v>
      </c>
      <c r="E185" s="113" t="s">
        <v>123</v>
      </c>
      <c r="F185" s="117"/>
      <c r="G185" s="124">
        <v>46055</v>
      </c>
      <c r="H185" s="124">
        <v>46265</v>
      </c>
      <c r="I185" s="124"/>
      <c r="J185" s="99"/>
      <c r="K185" s="91"/>
      <c r="L185" s="91"/>
      <c r="M185" s="91"/>
      <c r="N185" s="91"/>
      <c r="O185" s="91"/>
      <c r="P185" s="91"/>
      <c r="Q185" s="91"/>
      <c r="R185" s="91"/>
      <c r="S185" s="91"/>
      <c r="T185" s="91"/>
      <c r="U185" s="91"/>
      <c r="V185" s="91"/>
    </row>
    <row r="186" spans="1:22" hidden="1" outlineLevel="1">
      <c r="A186" s="91"/>
      <c r="B186" s="98"/>
      <c r="C186" s="102"/>
      <c r="D186" s="142"/>
      <c r="E186" s="113"/>
      <c r="F186" s="117"/>
      <c r="G186" s="124"/>
      <c r="H186" s="124"/>
      <c r="I186" s="124"/>
      <c r="J186" s="99"/>
      <c r="K186" s="91"/>
      <c r="L186" s="91"/>
      <c r="M186" s="91"/>
      <c r="N186" s="91"/>
      <c r="O186" s="91"/>
      <c r="P186" s="91"/>
      <c r="Q186" s="91"/>
      <c r="R186" s="91"/>
      <c r="S186" s="91"/>
      <c r="T186" s="91"/>
      <c r="U186" s="91"/>
      <c r="V186" s="91"/>
    </row>
    <row r="187" spans="1:22" hidden="1" outlineLevel="1">
      <c r="A187" s="91"/>
      <c r="B187" s="98"/>
      <c r="C187" s="102"/>
      <c r="D187" s="142"/>
      <c r="E187" s="113"/>
      <c r="F187" s="117"/>
      <c r="G187" s="124"/>
      <c r="H187" s="124"/>
      <c r="I187" s="124"/>
      <c r="J187" s="99"/>
      <c r="K187" s="91"/>
      <c r="L187" s="91"/>
      <c r="M187" s="91"/>
      <c r="N187" s="91"/>
      <c r="O187" s="91"/>
      <c r="P187" s="91"/>
      <c r="Q187" s="91"/>
      <c r="R187" s="91"/>
      <c r="S187" s="91"/>
      <c r="T187" s="91"/>
      <c r="U187" s="91"/>
      <c r="V187" s="91"/>
    </row>
    <row r="188" spans="1:22" ht="4.5" customHeight="1" outlineLevel="1">
      <c r="A188" s="91"/>
      <c r="B188" s="98"/>
      <c r="C188" s="102"/>
      <c r="D188" s="102"/>
      <c r="E188" s="102"/>
      <c r="F188" s="102"/>
      <c r="G188" s="102"/>
      <c r="H188" s="102"/>
      <c r="I188" s="102"/>
      <c r="J188" s="99"/>
      <c r="K188" s="91"/>
      <c r="L188" s="91"/>
      <c r="M188" s="91"/>
      <c r="N188" s="91"/>
      <c r="O188" s="91"/>
      <c r="P188" s="91"/>
      <c r="Q188" s="91"/>
      <c r="R188" s="91"/>
      <c r="S188" s="91"/>
      <c r="T188" s="91"/>
      <c r="U188" s="91"/>
      <c r="V188" s="91"/>
    </row>
    <row r="189" spans="1:22" ht="78" customHeight="1">
      <c r="A189" s="91"/>
      <c r="B189" s="98"/>
      <c r="C189" s="209" t="s">
        <v>39</v>
      </c>
      <c r="D189" s="212" t="s">
        <v>124</v>
      </c>
      <c r="E189" s="213"/>
      <c r="F189" s="214" t="s">
        <v>125</v>
      </c>
      <c r="G189" s="215"/>
      <c r="H189" s="215"/>
      <c r="I189" s="216"/>
      <c r="J189" s="99"/>
      <c r="K189" s="91"/>
      <c r="L189" s="91"/>
      <c r="M189" s="91"/>
      <c r="N189" s="91"/>
      <c r="O189" s="91"/>
      <c r="P189" s="91"/>
      <c r="Q189" s="91"/>
      <c r="R189" s="91"/>
      <c r="S189" s="91"/>
      <c r="T189" s="91"/>
      <c r="U189" s="91"/>
      <c r="V189" s="91"/>
    </row>
    <row r="190" spans="1:22" ht="4.5" customHeight="1" outlineLevel="1">
      <c r="A190" s="91"/>
      <c r="B190" s="98"/>
      <c r="C190" s="102"/>
      <c r="D190" s="102"/>
      <c r="E190" s="102"/>
      <c r="F190" s="103"/>
      <c r="G190" s="103"/>
      <c r="H190" s="103"/>
      <c r="I190" s="103"/>
      <c r="J190" s="99"/>
      <c r="K190" s="91"/>
      <c r="L190" s="91"/>
      <c r="M190" s="91"/>
      <c r="N190" s="91"/>
      <c r="O190" s="91"/>
      <c r="P190" s="91"/>
      <c r="Q190" s="91"/>
      <c r="R190" s="91"/>
      <c r="S190" s="91"/>
      <c r="T190" s="91"/>
      <c r="U190" s="91"/>
      <c r="V190" s="91"/>
    </row>
    <row r="191" spans="1:22" ht="30.75" outlineLevel="1">
      <c r="A191" s="91"/>
      <c r="B191" s="98"/>
      <c r="C191" s="105"/>
      <c r="D191" s="106" t="s">
        <v>12</v>
      </c>
      <c r="E191" s="110" t="s">
        <v>13</v>
      </c>
      <c r="F191" s="110" t="s">
        <v>14</v>
      </c>
      <c r="G191" s="110" t="s">
        <v>15</v>
      </c>
      <c r="H191" s="110" t="s">
        <v>16</v>
      </c>
      <c r="I191" s="110" t="s">
        <v>17</v>
      </c>
      <c r="J191" s="99"/>
      <c r="K191" s="91"/>
      <c r="L191" s="91"/>
      <c r="M191" s="91"/>
      <c r="N191" s="91"/>
      <c r="O191" s="91"/>
      <c r="P191" s="91"/>
      <c r="Q191" s="91"/>
      <c r="R191" s="91"/>
      <c r="S191" s="91"/>
      <c r="T191" s="91"/>
      <c r="U191" s="91"/>
      <c r="V191" s="91"/>
    </row>
    <row r="192" spans="1:22" ht="24.75" customHeight="1" outlineLevel="1">
      <c r="A192" s="91"/>
      <c r="B192" s="98"/>
      <c r="C192" s="102"/>
      <c r="D192" s="145" t="s">
        <v>126</v>
      </c>
      <c r="E192" s="148" t="s">
        <v>112</v>
      </c>
      <c r="F192" s="114"/>
      <c r="G192" s="123">
        <v>46113</v>
      </c>
      <c r="H192" s="123">
        <v>46142</v>
      </c>
      <c r="I192" s="123"/>
      <c r="J192" s="99"/>
      <c r="K192" s="91"/>
      <c r="L192" s="91"/>
      <c r="M192" s="91"/>
      <c r="N192" s="91"/>
      <c r="O192" s="91"/>
      <c r="P192" s="91"/>
      <c r="Q192" s="91"/>
      <c r="R192" s="91"/>
      <c r="S192" s="91"/>
      <c r="T192" s="91"/>
      <c r="U192" s="91"/>
      <c r="V192" s="91"/>
    </row>
    <row r="193" spans="1:22" ht="24.75" customHeight="1" outlineLevel="1">
      <c r="A193" s="91"/>
      <c r="B193" s="98"/>
      <c r="C193" s="102"/>
      <c r="D193" s="145" t="s">
        <v>127</v>
      </c>
      <c r="E193" s="148" t="s">
        <v>112</v>
      </c>
      <c r="F193" s="114"/>
      <c r="G193" s="123">
        <v>46113</v>
      </c>
      <c r="H193" s="123">
        <v>46142</v>
      </c>
      <c r="I193" s="123"/>
      <c r="J193" s="99"/>
      <c r="K193" s="91"/>
      <c r="L193" s="91"/>
      <c r="M193" s="91"/>
      <c r="N193" s="91"/>
      <c r="O193" s="91"/>
      <c r="P193" s="91"/>
      <c r="Q193" s="91"/>
      <c r="R193" s="91"/>
      <c r="S193" s="91"/>
      <c r="T193" s="91"/>
      <c r="U193" s="91"/>
      <c r="V193" s="91"/>
    </row>
    <row r="194" spans="1:22" ht="36.75" customHeight="1" outlineLevel="1">
      <c r="A194" s="91"/>
      <c r="B194" s="98"/>
      <c r="C194" s="102"/>
      <c r="D194" s="145" t="s">
        <v>128</v>
      </c>
      <c r="E194" s="148" t="s">
        <v>112</v>
      </c>
      <c r="F194" s="114"/>
      <c r="G194" s="123">
        <v>46113</v>
      </c>
      <c r="H194" s="123">
        <v>46142</v>
      </c>
      <c r="I194" s="123"/>
      <c r="J194" s="99"/>
      <c r="K194" s="91"/>
      <c r="L194" s="91"/>
      <c r="M194" s="91"/>
      <c r="N194" s="91"/>
      <c r="O194" s="91"/>
      <c r="P194" s="91"/>
      <c r="Q194" s="91"/>
      <c r="R194" s="91"/>
      <c r="S194" s="91"/>
      <c r="T194" s="91"/>
      <c r="U194" s="91"/>
      <c r="V194" s="91"/>
    </row>
    <row r="195" spans="1:22" ht="24.75" customHeight="1" outlineLevel="1">
      <c r="A195" s="91"/>
      <c r="B195" s="98"/>
      <c r="C195" s="102"/>
      <c r="D195" s="108" t="s">
        <v>129</v>
      </c>
      <c r="E195" s="148" t="s">
        <v>112</v>
      </c>
      <c r="F195" s="114"/>
      <c r="G195" s="123">
        <v>46113</v>
      </c>
      <c r="H195" s="123">
        <v>46173</v>
      </c>
      <c r="I195" s="123"/>
      <c r="J195" s="99"/>
      <c r="K195" s="91"/>
      <c r="L195" s="91"/>
      <c r="M195" s="91"/>
      <c r="N195" s="91"/>
      <c r="O195" s="91"/>
      <c r="P195" s="91"/>
      <c r="Q195" s="91"/>
      <c r="R195" s="91"/>
      <c r="S195" s="91"/>
      <c r="T195" s="91"/>
      <c r="U195" s="91"/>
      <c r="V195" s="91"/>
    </row>
    <row r="196" spans="1:22" ht="24.75" customHeight="1" outlineLevel="1">
      <c r="A196" s="91"/>
      <c r="B196" s="98"/>
      <c r="C196" s="102"/>
      <c r="D196" s="133" t="s">
        <v>130</v>
      </c>
      <c r="E196" s="148" t="s">
        <v>112</v>
      </c>
      <c r="F196" s="114"/>
      <c r="G196" s="123">
        <v>46143</v>
      </c>
      <c r="H196" s="123">
        <v>46265</v>
      </c>
      <c r="I196" s="123"/>
      <c r="J196" s="99"/>
      <c r="K196" s="91"/>
      <c r="L196" s="91"/>
      <c r="M196" s="91"/>
      <c r="N196" s="91"/>
      <c r="O196" s="91"/>
      <c r="P196" s="91"/>
      <c r="Q196" s="91"/>
      <c r="R196" s="91"/>
      <c r="S196" s="91"/>
      <c r="T196" s="91"/>
      <c r="U196" s="91"/>
      <c r="V196" s="91"/>
    </row>
    <row r="197" spans="1:22" ht="24.75" customHeight="1" outlineLevel="1">
      <c r="A197" s="91"/>
      <c r="B197" s="98"/>
      <c r="C197" s="102"/>
      <c r="D197" s="145" t="s">
        <v>131</v>
      </c>
      <c r="E197" s="148" t="s">
        <v>112</v>
      </c>
      <c r="F197" s="114"/>
      <c r="G197" s="123">
        <v>46143</v>
      </c>
      <c r="H197" s="123">
        <v>46265</v>
      </c>
      <c r="I197" s="123"/>
      <c r="J197" s="99"/>
      <c r="K197" s="91"/>
      <c r="L197" s="91"/>
      <c r="M197" s="91"/>
      <c r="N197" s="91"/>
      <c r="O197" s="91"/>
      <c r="P197" s="91"/>
      <c r="Q197" s="91"/>
      <c r="R197" s="91"/>
      <c r="S197" s="91"/>
      <c r="T197" s="91"/>
      <c r="U197" s="91"/>
      <c r="V197" s="91"/>
    </row>
    <row r="198" spans="1:22" ht="24.75" customHeight="1" outlineLevel="1">
      <c r="A198" s="91"/>
      <c r="B198" s="98"/>
      <c r="C198" s="102"/>
      <c r="D198" s="145" t="s">
        <v>132</v>
      </c>
      <c r="E198" s="148" t="s">
        <v>112</v>
      </c>
      <c r="F198" s="114"/>
      <c r="G198" s="123">
        <v>46143</v>
      </c>
      <c r="H198" s="123">
        <v>46265</v>
      </c>
      <c r="I198" s="123"/>
      <c r="J198" s="99"/>
      <c r="K198" s="91"/>
      <c r="L198" s="91"/>
      <c r="M198" s="91"/>
      <c r="N198" s="91"/>
      <c r="O198" s="91"/>
      <c r="P198" s="91"/>
      <c r="Q198" s="91"/>
      <c r="R198" s="91"/>
      <c r="S198" s="91"/>
      <c r="T198" s="91"/>
      <c r="U198" s="91"/>
      <c r="V198" s="91"/>
    </row>
    <row r="199" spans="1:22" ht="24.75" customHeight="1" outlineLevel="1">
      <c r="A199" s="91"/>
      <c r="B199" s="98"/>
      <c r="C199" s="102"/>
      <c r="D199" s="108" t="s">
        <v>133</v>
      </c>
      <c r="E199" s="148" t="s">
        <v>112</v>
      </c>
      <c r="F199" s="114"/>
      <c r="G199" s="123">
        <v>46235</v>
      </c>
      <c r="H199" s="123">
        <v>46387</v>
      </c>
      <c r="I199" s="123"/>
      <c r="J199" s="99"/>
      <c r="K199" s="91"/>
      <c r="L199" s="91"/>
      <c r="M199" s="91"/>
      <c r="N199" s="91"/>
      <c r="O199" s="91"/>
      <c r="P199" s="91"/>
      <c r="Q199" s="91"/>
      <c r="R199" s="91"/>
      <c r="S199" s="91"/>
      <c r="T199" s="91"/>
      <c r="U199" s="91"/>
      <c r="V199" s="91"/>
    </row>
    <row r="200" spans="1:22" ht="33" customHeight="1" outlineLevel="1">
      <c r="A200" s="91"/>
      <c r="B200" s="98"/>
      <c r="C200" s="102"/>
      <c r="D200" s="108" t="s">
        <v>134</v>
      </c>
      <c r="E200" s="148" t="s">
        <v>112</v>
      </c>
      <c r="F200" s="114"/>
      <c r="G200" s="123">
        <v>46266</v>
      </c>
      <c r="H200" s="123">
        <v>46387</v>
      </c>
      <c r="I200" s="123"/>
      <c r="J200" s="99"/>
      <c r="K200" s="91"/>
      <c r="L200" s="91"/>
      <c r="M200" s="91"/>
      <c r="N200" s="91"/>
      <c r="O200" s="91"/>
      <c r="P200" s="91"/>
      <c r="Q200" s="91"/>
      <c r="R200" s="91"/>
      <c r="S200" s="91"/>
      <c r="T200" s="91"/>
      <c r="U200" s="91"/>
      <c r="V200" s="91"/>
    </row>
    <row r="201" spans="1:22" hidden="1" outlineLevel="1">
      <c r="A201" s="91"/>
      <c r="B201" s="98"/>
      <c r="C201" s="102"/>
      <c r="D201" s="108"/>
      <c r="E201" s="148"/>
      <c r="F201" s="114"/>
      <c r="G201" s="123"/>
      <c r="H201" s="123"/>
      <c r="I201" s="123"/>
      <c r="J201" s="99"/>
      <c r="K201" s="91"/>
      <c r="L201" s="91"/>
      <c r="M201" s="91"/>
      <c r="N201" s="91"/>
      <c r="O201" s="91"/>
      <c r="P201" s="91"/>
      <c r="Q201" s="91"/>
      <c r="R201" s="91"/>
      <c r="S201" s="91"/>
      <c r="T201" s="91"/>
      <c r="U201" s="91"/>
      <c r="V201" s="91"/>
    </row>
    <row r="202" spans="1:22" hidden="1" outlineLevel="1">
      <c r="A202" s="91"/>
      <c r="B202" s="98"/>
      <c r="C202" s="102"/>
      <c r="D202" s="108"/>
      <c r="E202" s="148"/>
      <c r="F202" s="114"/>
      <c r="G202" s="123"/>
      <c r="H202" s="123"/>
      <c r="I202" s="123"/>
      <c r="J202" s="99"/>
      <c r="K202" s="91"/>
      <c r="L202" s="91"/>
      <c r="M202" s="91"/>
      <c r="N202" s="91"/>
      <c r="O202" s="91"/>
      <c r="P202" s="91"/>
      <c r="Q202" s="91"/>
      <c r="R202" s="91"/>
      <c r="S202" s="91"/>
      <c r="T202" s="91"/>
      <c r="U202" s="91"/>
      <c r="V202" s="91"/>
    </row>
    <row r="203" spans="1:22" ht="14.45" hidden="1" outlineLevel="1">
      <c r="A203" s="91"/>
      <c r="B203" s="98"/>
      <c r="C203" s="102"/>
      <c r="D203" s="108"/>
      <c r="E203" s="113"/>
      <c r="F203" s="114"/>
      <c r="G203" s="123"/>
      <c r="H203" s="123"/>
      <c r="I203" s="123"/>
      <c r="J203" s="99"/>
      <c r="K203" s="91"/>
      <c r="L203" s="91"/>
      <c r="M203" s="91"/>
      <c r="N203" s="91"/>
      <c r="O203" s="91"/>
      <c r="P203" s="91"/>
      <c r="Q203" s="91"/>
      <c r="R203" s="91"/>
      <c r="S203" s="91"/>
      <c r="T203" s="91"/>
      <c r="U203" s="91"/>
      <c r="V203" s="91"/>
    </row>
    <row r="204" spans="1:22" ht="14.45" hidden="1" outlineLevel="1">
      <c r="A204" s="91"/>
      <c r="B204" s="98"/>
      <c r="C204" s="102"/>
      <c r="D204" s="108"/>
      <c r="E204" s="113"/>
      <c r="F204" s="114"/>
      <c r="G204" s="123"/>
      <c r="H204" s="123"/>
      <c r="I204" s="123"/>
      <c r="J204" s="99"/>
      <c r="K204" s="91"/>
      <c r="L204" s="91"/>
      <c r="M204" s="91"/>
      <c r="N204" s="91"/>
      <c r="O204" s="91"/>
      <c r="P204" s="91"/>
      <c r="Q204" s="91"/>
      <c r="R204" s="91"/>
      <c r="S204" s="91"/>
      <c r="T204" s="91"/>
      <c r="U204" s="91"/>
      <c r="V204" s="91"/>
    </row>
    <row r="205" spans="1:22" ht="14.45" hidden="1" outlineLevel="1">
      <c r="A205" s="91"/>
      <c r="B205" s="98"/>
      <c r="C205" s="102"/>
      <c r="D205" s="108"/>
      <c r="E205" s="113"/>
      <c r="F205" s="114"/>
      <c r="G205" s="123"/>
      <c r="H205" s="123"/>
      <c r="I205" s="123"/>
      <c r="J205" s="99"/>
      <c r="K205" s="91"/>
      <c r="L205" s="91"/>
      <c r="M205" s="91"/>
      <c r="N205" s="91"/>
      <c r="O205" s="91"/>
      <c r="P205" s="91"/>
      <c r="Q205" s="91"/>
      <c r="R205" s="91"/>
      <c r="S205" s="91"/>
      <c r="T205" s="91"/>
      <c r="U205" s="91"/>
      <c r="V205" s="91"/>
    </row>
    <row r="206" spans="1:22" ht="14.45" hidden="1" outlineLevel="1">
      <c r="A206" s="91"/>
      <c r="B206" s="98"/>
      <c r="C206" s="102"/>
      <c r="D206" s="108"/>
      <c r="E206" s="113"/>
      <c r="F206" s="114"/>
      <c r="G206" s="123"/>
      <c r="H206" s="123"/>
      <c r="I206" s="123"/>
      <c r="J206" s="99"/>
      <c r="K206" s="91"/>
      <c r="L206" s="91"/>
      <c r="M206" s="91"/>
      <c r="N206" s="91"/>
      <c r="O206" s="91"/>
      <c r="P206" s="91"/>
      <c r="Q206" s="91"/>
      <c r="R206" s="91"/>
      <c r="S206" s="91"/>
      <c r="T206" s="91"/>
      <c r="U206" s="91"/>
      <c r="V206" s="91"/>
    </row>
    <row r="207" spans="1:22" ht="4.5" customHeight="1" outlineLevel="1">
      <c r="A207" s="91"/>
      <c r="B207" s="98"/>
      <c r="C207" s="102"/>
      <c r="D207" s="102"/>
      <c r="E207" s="102"/>
      <c r="F207" s="103"/>
      <c r="G207" s="103"/>
      <c r="H207" s="103"/>
      <c r="I207" s="103"/>
      <c r="J207" s="99"/>
      <c r="K207" s="91"/>
      <c r="L207" s="91"/>
      <c r="M207" s="91"/>
      <c r="N207" s="91"/>
      <c r="O207" s="91"/>
      <c r="P207" s="91"/>
      <c r="Q207" s="91"/>
      <c r="R207" s="91"/>
      <c r="S207" s="91"/>
      <c r="T207" s="91"/>
      <c r="U207" s="91"/>
      <c r="V207" s="91"/>
    </row>
    <row r="208" spans="1:22" ht="12" hidden="1" customHeight="1">
      <c r="A208" s="91"/>
      <c r="B208" s="98"/>
      <c r="C208" s="115"/>
      <c r="D208" s="115"/>
      <c r="E208" s="115"/>
      <c r="F208" s="116"/>
      <c r="G208" s="116"/>
      <c r="H208" s="116"/>
      <c r="I208" s="116"/>
      <c r="J208" s="99"/>
      <c r="K208" s="91"/>
      <c r="L208" s="91"/>
      <c r="M208" s="91"/>
      <c r="N208" s="91"/>
      <c r="O208" s="91"/>
      <c r="P208" s="91"/>
      <c r="Q208" s="91"/>
      <c r="R208" s="91"/>
      <c r="S208" s="91"/>
      <c r="T208" s="91"/>
      <c r="U208" s="91"/>
      <c r="V208" s="91"/>
    </row>
    <row r="209" spans="1:22" ht="12" hidden="1" customHeight="1">
      <c r="A209" s="91"/>
      <c r="B209" s="91"/>
      <c r="C209" s="91"/>
      <c r="D209" s="91"/>
      <c r="E209" s="91"/>
      <c r="F209" s="92"/>
      <c r="G209" s="92"/>
      <c r="H209" s="92"/>
      <c r="I209" s="92"/>
      <c r="J209" s="91"/>
      <c r="K209" s="91"/>
      <c r="L209" s="91"/>
      <c r="M209" s="91"/>
      <c r="N209" s="91"/>
      <c r="O209" s="91"/>
      <c r="P209" s="91"/>
      <c r="Q209" s="91"/>
      <c r="R209" s="91"/>
      <c r="S209" s="91"/>
      <c r="T209" s="91"/>
      <c r="U209" s="91"/>
      <c r="V209" s="91"/>
    </row>
    <row r="210" spans="1:22" ht="12" hidden="1" customHeight="1">
      <c r="A210" s="91"/>
      <c r="B210" s="91"/>
      <c r="C210" s="91"/>
      <c r="D210" s="91"/>
      <c r="E210" s="91"/>
      <c r="F210" s="92"/>
      <c r="G210" s="92"/>
      <c r="H210" s="92"/>
      <c r="I210" s="92"/>
      <c r="J210" s="91"/>
      <c r="K210" s="91"/>
      <c r="L210" s="91"/>
      <c r="M210" s="91"/>
      <c r="N210" s="91"/>
      <c r="O210" s="91"/>
      <c r="P210" s="91"/>
      <c r="Q210" s="91"/>
      <c r="R210" s="91"/>
      <c r="S210" s="91"/>
      <c r="T210" s="91"/>
      <c r="U210" s="91"/>
      <c r="V210" s="91"/>
    </row>
    <row r="211" spans="1:22" ht="12" hidden="1" customHeight="1">
      <c r="A211" s="91"/>
      <c r="B211" s="91"/>
      <c r="C211" s="91"/>
      <c r="D211" s="91"/>
      <c r="E211" s="91"/>
      <c r="F211" s="92"/>
      <c r="G211" s="92"/>
      <c r="H211" s="92"/>
      <c r="I211" s="92"/>
      <c r="J211" s="91"/>
      <c r="K211" s="91"/>
      <c r="L211" s="91"/>
      <c r="M211" s="91"/>
      <c r="N211" s="91"/>
      <c r="O211" s="91"/>
      <c r="P211" s="91"/>
      <c r="Q211" s="91"/>
      <c r="R211" s="91"/>
      <c r="S211" s="91"/>
      <c r="T211" s="91"/>
      <c r="U211" s="91"/>
      <c r="V211" s="91"/>
    </row>
    <row r="212" spans="1:22" ht="12" hidden="1" customHeight="1">
      <c r="A212" s="91"/>
      <c r="B212" s="91"/>
      <c r="C212" s="91"/>
      <c r="D212" s="91"/>
      <c r="E212" s="91"/>
      <c r="F212" s="92"/>
      <c r="G212" s="92"/>
      <c r="H212" s="92"/>
      <c r="I212" s="92"/>
      <c r="J212" s="91"/>
      <c r="K212" s="91"/>
      <c r="L212" s="91"/>
      <c r="M212" s="91"/>
      <c r="N212" s="91"/>
      <c r="O212" s="91"/>
      <c r="P212" s="91"/>
      <c r="Q212" s="91"/>
      <c r="R212" s="91"/>
      <c r="S212" s="91"/>
      <c r="T212" s="91"/>
      <c r="U212" s="91"/>
      <c r="V212" s="91"/>
    </row>
    <row r="213" spans="1:22" ht="12" hidden="1" customHeight="1">
      <c r="A213" s="91"/>
      <c r="B213" s="91"/>
      <c r="C213" s="91"/>
      <c r="D213" s="91"/>
      <c r="E213" s="91"/>
      <c r="F213" s="92"/>
      <c r="G213" s="92"/>
      <c r="H213" s="92"/>
      <c r="I213" s="92"/>
      <c r="J213" s="91"/>
      <c r="K213" s="91"/>
      <c r="L213" s="91"/>
      <c r="M213" s="91"/>
      <c r="N213" s="91"/>
      <c r="O213" s="91"/>
      <c r="P213" s="91"/>
      <c r="Q213" s="91"/>
      <c r="R213" s="91"/>
      <c r="S213" s="91"/>
      <c r="T213" s="91"/>
      <c r="U213" s="91"/>
      <c r="V213" s="91"/>
    </row>
    <row r="214" spans="1:22" ht="12" hidden="1" customHeight="1">
      <c r="A214" s="91"/>
      <c r="B214" s="91"/>
      <c r="C214" s="91"/>
      <c r="D214" s="91"/>
      <c r="E214" s="91"/>
      <c r="F214" s="92"/>
      <c r="G214" s="92"/>
      <c r="H214" s="92"/>
      <c r="I214" s="92"/>
      <c r="J214" s="91"/>
      <c r="K214" s="91"/>
      <c r="L214" s="91"/>
      <c r="M214" s="91"/>
      <c r="N214" s="91"/>
      <c r="O214" s="91"/>
      <c r="P214" s="91"/>
      <c r="Q214" s="91"/>
      <c r="R214" s="91"/>
      <c r="S214" s="91"/>
      <c r="T214" s="91"/>
      <c r="U214" s="91"/>
      <c r="V214" s="91"/>
    </row>
    <row r="215" spans="1:22" ht="12" hidden="1" customHeight="1">
      <c r="A215" s="91"/>
      <c r="B215" s="91"/>
      <c r="C215" s="91"/>
      <c r="D215" s="91"/>
      <c r="E215" s="91"/>
      <c r="F215" s="92"/>
      <c r="G215" s="92"/>
      <c r="H215" s="92"/>
      <c r="I215" s="92"/>
      <c r="J215" s="91"/>
      <c r="K215" s="91"/>
      <c r="L215" s="91"/>
      <c r="M215" s="91"/>
      <c r="N215" s="91"/>
      <c r="O215" s="91"/>
      <c r="P215" s="91"/>
      <c r="Q215" s="91"/>
      <c r="R215" s="91"/>
      <c r="S215" s="91"/>
      <c r="T215" s="91"/>
      <c r="U215" s="91"/>
      <c r="V215" s="91"/>
    </row>
    <row r="216" spans="1:22" ht="12" hidden="1" customHeight="1">
      <c r="A216" s="91"/>
      <c r="B216" s="91"/>
      <c r="C216" s="91"/>
      <c r="D216" s="91"/>
      <c r="E216" s="91"/>
      <c r="F216" s="92"/>
      <c r="G216" s="92"/>
      <c r="H216" s="92"/>
      <c r="I216" s="92"/>
      <c r="J216" s="91"/>
      <c r="K216" s="91"/>
      <c r="L216" s="91"/>
      <c r="M216" s="91"/>
      <c r="N216" s="91"/>
      <c r="O216" s="91"/>
      <c r="P216" s="91"/>
      <c r="Q216" s="91"/>
      <c r="R216" s="91"/>
      <c r="S216" s="91"/>
      <c r="T216" s="91"/>
      <c r="U216" s="91"/>
      <c r="V216" s="91"/>
    </row>
    <row r="217" spans="1:22" ht="12" hidden="1" customHeight="1">
      <c r="A217" s="91"/>
      <c r="B217" s="91"/>
      <c r="C217" s="91"/>
      <c r="D217" s="91"/>
      <c r="E217" s="91"/>
      <c r="F217" s="92"/>
      <c r="G217" s="92"/>
      <c r="H217" s="92"/>
      <c r="I217" s="92"/>
      <c r="J217" s="91"/>
      <c r="K217" s="91"/>
      <c r="L217" s="91"/>
      <c r="M217" s="91"/>
      <c r="N217" s="91"/>
      <c r="O217" s="91"/>
      <c r="P217" s="91"/>
      <c r="Q217" s="91"/>
      <c r="R217" s="91"/>
      <c r="S217" s="91"/>
      <c r="T217" s="91"/>
      <c r="U217" s="91"/>
      <c r="V217" s="91"/>
    </row>
    <row r="218" spans="1:22" ht="12" hidden="1" customHeight="1">
      <c r="A218" s="91"/>
      <c r="B218" s="91"/>
      <c r="C218" s="91"/>
      <c r="D218" s="91"/>
      <c r="E218" s="91"/>
      <c r="F218" s="92"/>
      <c r="G218" s="92"/>
      <c r="H218" s="92"/>
      <c r="I218" s="92"/>
      <c r="J218" s="91"/>
      <c r="K218" s="91"/>
      <c r="L218" s="91"/>
      <c r="M218" s="91"/>
      <c r="N218" s="91"/>
      <c r="O218" s="91"/>
      <c r="P218" s="91"/>
      <c r="Q218" s="91"/>
      <c r="R218" s="91"/>
      <c r="S218" s="91"/>
      <c r="T218" s="91"/>
      <c r="U218" s="91"/>
      <c r="V218" s="91"/>
    </row>
    <row r="219" spans="1:22" ht="12" hidden="1" customHeight="1">
      <c r="A219" s="91"/>
      <c r="B219" s="91"/>
      <c r="C219" s="91"/>
      <c r="D219" s="91"/>
      <c r="E219" s="91"/>
      <c r="F219" s="92"/>
      <c r="G219" s="92"/>
      <c r="H219" s="92"/>
      <c r="I219" s="92"/>
      <c r="J219" s="91"/>
      <c r="K219" s="91"/>
      <c r="L219" s="91"/>
      <c r="M219" s="91"/>
      <c r="N219" s="91"/>
      <c r="O219" s="91"/>
      <c r="P219" s="91"/>
      <c r="Q219" s="91"/>
      <c r="R219" s="91"/>
      <c r="S219" s="91"/>
      <c r="T219" s="91"/>
      <c r="U219" s="91"/>
      <c r="V219" s="91"/>
    </row>
    <row r="220" spans="1:22" ht="12" hidden="1" customHeight="1">
      <c r="A220" s="91"/>
      <c r="B220" s="91"/>
      <c r="C220" s="91"/>
      <c r="D220" s="91"/>
      <c r="E220" s="91"/>
      <c r="F220" s="92"/>
      <c r="G220" s="92"/>
      <c r="H220" s="92"/>
      <c r="I220" s="92"/>
      <c r="J220" s="91"/>
      <c r="K220" s="91"/>
      <c r="L220" s="91"/>
      <c r="M220" s="91"/>
      <c r="N220" s="91"/>
      <c r="O220" s="91"/>
      <c r="P220" s="91"/>
      <c r="Q220" s="91"/>
      <c r="R220" s="91"/>
      <c r="S220" s="91"/>
      <c r="T220" s="91"/>
      <c r="U220" s="91"/>
      <c r="V220" s="91"/>
    </row>
    <row r="221" spans="1:22" ht="12" hidden="1" customHeight="1">
      <c r="A221" s="91"/>
      <c r="B221" s="91"/>
      <c r="C221" s="91"/>
      <c r="D221" s="91"/>
      <c r="E221" s="91"/>
      <c r="F221" s="92"/>
      <c r="G221" s="92"/>
      <c r="H221" s="92"/>
      <c r="I221" s="92"/>
      <c r="J221" s="91"/>
      <c r="K221" s="91"/>
      <c r="L221" s="91"/>
      <c r="M221" s="91"/>
      <c r="N221" s="91"/>
      <c r="O221" s="91"/>
      <c r="P221" s="91"/>
      <c r="Q221" s="91"/>
      <c r="R221" s="91"/>
      <c r="S221" s="91"/>
      <c r="T221" s="91"/>
      <c r="U221" s="91"/>
      <c r="V221" s="91"/>
    </row>
    <row r="222" spans="1:22" ht="12" hidden="1" customHeight="1">
      <c r="A222" s="91"/>
      <c r="B222" s="91"/>
      <c r="C222" s="91"/>
      <c r="D222" s="91"/>
      <c r="E222" s="91"/>
      <c r="F222" s="92"/>
      <c r="G222" s="92"/>
      <c r="H222" s="92"/>
      <c r="I222" s="92"/>
      <c r="J222" s="91"/>
      <c r="K222" s="91"/>
      <c r="L222" s="91"/>
      <c r="M222" s="91"/>
      <c r="N222" s="91"/>
      <c r="O222" s="91"/>
      <c r="P222" s="91"/>
      <c r="Q222" s="91"/>
      <c r="R222" s="91"/>
      <c r="S222" s="91"/>
      <c r="T222" s="91"/>
      <c r="U222" s="91"/>
      <c r="V222" s="91"/>
    </row>
    <row r="223" spans="1:22" ht="12" hidden="1" customHeight="1">
      <c r="A223" s="91"/>
      <c r="B223" s="91"/>
      <c r="C223" s="91"/>
      <c r="D223" s="91"/>
      <c r="E223" s="91"/>
      <c r="F223" s="92"/>
      <c r="G223" s="92"/>
      <c r="H223" s="92"/>
      <c r="I223" s="92"/>
      <c r="J223" s="91"/>
      <c r="K223" s="91"/>
      <c r="L223" s="91"/>
      <c r="M223" s="91"/>
      <c r="N223" s="91"/>
      <c r="O223" s="91"/>
      <c r="P223" s="91"/>
      <c r="Q223" s="91"/>
      <c r="R223" s="91"/>
      <c r="S223" s="91"/>
      <c r="T223" s="91"/>
      <c r="U223" s="91"/>
      <c r="V223" s="91"/>
    </row>
    <row r="224" spans="1:22" ht="12" hidden="1" customHeight="1">
      <c r="A224" s="91"/>
      <c r="B224" s="91"/>
      <c r="C224" s="91"/>
      <c r="D224" s="91"/>
      <c r="E224" s="91"/>
      <c r="F224" s="92"/>
      <c r="G224" s="92"/>
      <c r="H224" s="92"/>
      <c r="I224" s="92"/>
      <c r="J224" s="91"/>
      <c r="K224" s="91"/>
      <c r="L224" s="91"/>
      <c r="M224" s="91"/>
      <c r="N224" s="91"/>
      <c r="O224" s="91"/>
      <c r="P224" s="91"/>
      <c r="Q224" s="91"/>
      <c r="R224" s="91"/>
      <c r="S224" s="91"/>
      <c r="T224" s="91"/>
      <c r="U224" s="91"/>
      <c r="V224" s="91"/>
    </row>
    <row r="225" spans="1:22" ht="12" hidden="1" customHeight="1">
      <c r="A225" s="91"/>
      <c r="B225" s="91"/>
      <c r="C225" s="91"/>
      <c r="D225" s="91"/>
      <c r="E225" s="91"/>
      <c r="F225" s="92"/>
      <c r="G225" s="92"/>
      <c r="H225" s="92"/>
      <c r="I225" s="92"/>
      <c r="J225" s="91"/>
      <c r="K225" s="91"/>
      <c r="L225" s="91"/>
      <c r="M225" s="91"/>
      <c r="N225" s="91"/>
      <c r="O225" s="91"/>
      <c r="P225" s="91"/>
      <c r="Q225" s="91"/>
      <c r="R225" s="91"/>
      <c r="S225" s="91"/>
      <c r="T225" s="91"/>
      <c r="U225" s="91"/>
      <c r="V225" s="91"/>
    </row>
    <row r="226" spans="1:22" ht="12" hidden="1" customHeight="1">
      <c r="A226" s="91"/>
      <c r="B226" s="91"/>
      <c r="C226" s="91"/>
      <c r="D226" s="91"/>
      <c r="E226" s="91"/>
      <c r="F226" s="92"/>
      <c r="G226" s="92"/>
      <c r="H226" s="92"/>
      <c r="I226" s="92"/>
      <c r="J226" s="91"/>
      <c r="K226" s="91"/>
      <c r="L226" s="91"/>
      <c r="M226" s="91"/>
      <c r="N226" s="91"/>
      <c r="O226" s="91"/>
      <c r="P226" s="91"/>
      <c r="Q226" s="91"/>
      <c r="R226" s="91"/>
      <c r="S226" s="91"/>
      <c r="T226" s="91"/>
      <c r="U226" s="91"/>
      <c r="V226" s="91"/>
    </row>
    <row r="227" spans="1:22" ht="12" hidden="1" customHeight="1">
      <c r="A227" s="91"/>
      <c r="B227" s="91"/>
      <c r="C227" s="91"/>
      <c r="D227" s="91"/>
      <c r="E227" s="91"/>
      <c r="F227" s="92"/>
      <c r="G227" s="92"/>
      <c r="H227" s="92"/>
      <c r="I227" s="92"/>
      <c r="J227" s="91"/>
      <c r="K227" s="91"/>
      <c r="L227" s="91"/>
      <c r="M227" s="91"/>
      <c r="N227" s="91"/>
      <c r="O227" s="91"/>
      <c r="P227" s="91"/>
      <c r="Q227" s="91"/>
      <c r="R227" s="91"/>
      <c r="S227" s="91"/>
      <c r="T227" s="91"/>
      <c r="U227" s="91"/>
      <c r="V227" s="91"/>
    </row>
    <row r="228" spans="1:22" ht="12" hidden="1" customHeight="1">
      <c r="A228" s="91"/>
      <c r="B228" s="91"/>
      <c r="C228" s="91"/>
      <c r="D228" s="91"/>
      <c r="E228" s="91"/>
      <c r="F228" s="92"/>
      <c r="G228" s="92"/>
      <c r="H228" s="92"/>
      <c r="I228" s="92"/>
      <c r="J228" s="91"/>
      <c r="K228" s="91"/>
      <c r="L228" s="91"/>
      <c r="M228" s="91"/>
      <c r="N228" s="91"/>
      <c r="O228" s="91"/>
      <c r="P228" s="91"/>
      <c r="Q228" s="91"/>
      <c r="R228" s="91"/>
      <c r="S228" s="91"/>
      <c r="T228" s="91"/>
      <c r="U228" s="91"/>
      <c r="V228" s="91"/>
    </row>
    <row r="229" spans="1:22" ht="12" hidden="1" customHeight="1">
      <c r="A229" s="91"/>
      <c r="B229" s="91"/>
      <c r="C229" s="91"/>
      <c r="D229" s="91"/>
      <c r="E229" s="91"/>
      <c r="F229" s="92"/>
      <c r="G229" s="92"/>
      <c r="H229" s="92"/>
      <c r="I229" s="92"/>
      <c r="J229" s="91"/>
      <c r="K229" s="91"/>
      <c r="L229" s="91"/>
      <c r="M229" s="91"/>
      <c r="N229" s="91"/>
      <c r="O229" s="91"/>
      <c r="P229" s="91"/>
      <c r="Q229" s="91"/>
      <c r="R229" s="91"/>
      <c r="S229" s="91"/>
      <c r="T229" s="91"/>
      <c r="U229" s="91"/>
      <c r="V229" s="91"/>
    </row>
    <row r="230" spans="1:22" ht="12" hidden="1" customHeight="1">
      <c r="A230" s="91"/>
      <c r="B230" s="91"/>
      <c r="C230" s="91"/>
      <c r="D230" s="91"/>
      <c r="E230" s="91"/>
      <c r="F230" s="92"/>
      <c r="G230" s="92"/>
      <c r="H230" s="92"/>
      <c r="I230" s="92"/>
      <c r="J230" s="91"/>
      <c r="K230" s="91"/>
      <c r="L230" s="91"/>
      <c r="M230" s="91"/>
      <c r="N230" s="91"/>
      <c r="O230" s="91"/>
      <c r="P230" s="91"/>
      <c r="Q230" s="91"/>
      <c r="R230" s="91"/>
      <c r="S230" s="91"/>
      <c r="T230" s="91"/>
      <c r="U230" s="91"/>
      <c r="V230" s="91"/>
    </row>
    <row r="231" spans="1:22" ht="12" hidden="1" customHeight="1">
      <c r="A231" s="91"/>
      <c r="B231" s="91"/>
      <c r="C231" s="91"/>
      <c r="D231" s="91"/>
      <c r="E231" s="91"/>
      <c r="F231" s="92"/>
      <c r="G231" s="92"/>
      <c r="H231" s="92"/>
      <c r="I231" s="92"/>
      <c r="J231" s="91"/>
      <c r="K231" s="91"/>
      <c r="L231" s="91"/>
      <c r="M231" s="91"/>
      <c r="N231" s="91"/>
      <c r="O231" s="91"/>
      <c r="P231" s="91"/>
      <c r="Q231" s="91"/>
      <c r="R231" s="91"/>
      <c r="S231" s="91"/>
      <c r="T231" s="91"/>
      <c r="U231" s="91"/>
      <c r="V231" s="91"/>
    </row>
    <row r="232" spans="1:22" ht="12" hidden="1" customHeight="1">
      <c r="A232" s="91"/>
      <c r="B232" s="91"/>
      <c r="C232" s="91"/>
      <c r="D232" s="91"/>
      <c r="E232" s="91"/>
      <c r="F232" s="92"/>
      <c r="G232" s="92"/>
      <c r="H232" s="92"/>
      <c r="I232" s="92"/>
      <c r="J232" s="91"/>
      <c r="K232" s="91"/>
      <c r="L232" s="91"/>
      <c r="M232" s="91"/>
      <c r="N232" s="91"/>
      <c r="O232" s="91"/>
      <c r="P232" s="91"/>
      <c r="Q232" s="91"/>
      <c r="R232" s="91"/>
      <c r="S232" s="91"/>
      <c r="T232" s="91"/>
      <c r="U232" s="91"/>
      <c r="V232" s="91"/>
    </row>
    <row r="233" spans="1:22" ht="12" hidden="1" customHeight="1">
      <c r="A233" s="91"/>
      <c r="B233" s="91"/>
      <c r="C233" s="91"/>
      <c r="D233" s="91"/>
      <c r="E233" s="91"/>
      <c r="F233" s="92"/>
      <c r="G233" s="92"/>
      <c r="H233" s="92"/>
      <c r="I233" s="92"/>
      <c r="J233" s="91"/>
      <c r="K233" s="91"/>
      <c r="L233" s="91"/>
      <c r="M233" s="91"/>
      <c r="N233" s="91"/>
      <c r="O233" s="91"/>
      <c r="P233" s="91"/>
      <c r="Q233" s="91"/>
      <c r="R233" s="91"/>
      <c r="S233" s="91"/>
      <c r="T233" s="91"/>
      <c r="U233" s="91"/>
      <c r="V233" s="91"/>
    </row>
    <row r="234" spans="1:22" ht="12" hidden="1" customHeight="1">
      <c r="A234" s="91"/>
      <c r="B234" s="91"/>
      <c r="C234" s="91"/>
      <c r="D234" s="91"/>
      <c r="E234" s="91"/>
      <c r="F234" s="92"/>
      <c r="G234" s="92"/>
      <c r="H234" s="92"/>
      <c r="I234" s="92"/>
      <c r="J234" s="91"/>
      <c r="K234" s="91"/>
      <c r="L234" s="91"/>
      <c r="M234" s="91"/>
      <c r="N234" s="91"/>
      <c r="O234" s="91"/>
      <c r="P234" s="91"/>
      <c r="Q234" s="91"/>
      <c r="R234" s="91"/>
      <c r="S234" s="91"/>
      <c r="T234" s="91"/>
      <c r="U234" s="91"/>
      <c r="V234" s="91"/>
    </row>
    <row r="235" spans="1:22" ht="12" hidden="1" customHeight="1">
      <c r="A235" s="91"/>
      <c r="B235" s="91"/>
      <c r="C235" s="91"/>
      <c r="D235" s="91"/>
      <c r="E235" s="91"/>
      <c r="F235" s="92"/>
      <c r="G235" s="92"/>
      <c r="H235" s="92"/>
      <c r="I235" s="92"/>
      <c r="J235" s="91"/>
      <c r="K235" s="91"/>
      <c r="L235" s="91"/>
      <c r="M235" s="91"/>
      <c r="N235" s="91"/>
      <c r="O235" s="91"/>
      <c r="P235" s="91"/>
      <c r="Q235" s="91"/>
      <c r="R235" s="91"/>
      <c r="S235" s="91"/>
      <c r="T235" s="91"/>
      <c r="U235" s="91"/>
      <c r="V235" s="91"/>
    </row>
    <row r="236" spans="1:22" ht="12" hidden="1" customHeight="1">
      <c r="A236" s="91"/>
      <c r="B236" s="91"/>
      <c r="C236" s="91"/>
      <c r="D236" s="91"/>
      <c r="E236" s="91"/>
      <c r="F236" s="92"/>
      <c r="G236" s="92"/>
      <c r="H236" s="92"/>
      <c r="I236" s="92"/>
      <c r="J236" s="91"/>
      <c r="K236" s="91"/>
      <c r="L236" s="91"/>
      <c r="M236" s="91"/>
      <c r="N236" s="91"/>
      <c r="O236" s="91"/>
      <c r="P236" s="91"/>
      <c r="Q236" s="91"/>
      <c r="R236" s="91"/>
      <c r="S236" s="91"/>
      <c r="T236" s="91"/>
      <c r="U236" s="91"/>
      <c r="V236" s="91"/>
    </row>
    <row r="237" spans="1:22" ht="12" hidden="1" customHeight="1">
      <c r="A237" s="91"/>
      <c r="B237" s="91"/>
      <c r="C237" s="91"/>
      <c r="D237" s="91"/>
      <c r="E237" s="91"/>
      <c r="F237" s="92"/>
      <c r="G237" s="92"/>
      <c r="H237" s="92"/>
      <c r="I237" s="92"/>
      <c r="J237" s="91"/>
      <c r="K237" s="91"/>
      <c r="L237" s="91"/>
      <c r="M237" s="91"/>
      <c r="N237" s="91"/>
      <c r="O237" s="91"/>
      <c r="P237" s="91"/>
      <c r="Q237" s="91"/>
      <c r="R237" s="91"/>
      <c r="S237" s="91"/>
      <c r="T237" s="91"/>
      <c r="U237" s="91"/>
      <c r="V237" s="91"/>
    </row>
    <row r="238" spans="1:22" ht="12" hidden="1" customHeight="1">
      <c r="A238" s="91"/>
      <c r="B238" s="91"/>
      <c r="C238" s="91"/>
      <c r="D238" s="91"/>
      <c r="E238" s="91"/>
      <c r="F238" s="92"/>
      <c r="G238" s="92"/>
      <c r="H238" s="92"/>
      <c r="I238" s="92"/>
      <c r="J238" s="91"/>
      <c r="K238" s="91"/>
      <c r="L238" s="91"/>
      <c r="M238" s="91"/>
      <c r="N238" s="91"/>
      <c r="O238" s="91"/>
      <c r="P238" s="91"/>
      <c r="Q238" s="91"/>
      <c r="R238" s="91"/>
      <c r="S238" s="91"/>
      <c r="T238" s="91"/>
      <c r="U238" s="91"/>
      <c r="V238" s="91"/>
    </row>
    <row r="239" spans="1:22" ht="12" hidden="1" customHeight="1">
      <c r="A239" s="91"/>
      <c r="B239" s="91"/>
      <c r="C239" s="91"/>
      <c r="D239" s="91"/>
      <c r="E239" s="91"/>
      <c r="F239" s="92"/>
      <c r="G239" s="92"/>
      <c r="H239" s="92"/>
      <c r="I239" s="92"/>
      <c r="J239" s="91"/>
      <c r="K239" s="91"/>
      <c r="L239" s="91"/>
      <c r="M239" s="91"/>
      <c r="N239" s="91"/>
      <c r="O239" s="91"/>
      <c r="P239" s="91"/>
      <c r="Q239" s="91"/>
      <c r="R239" s="91"/>
      <c r="S239" s="91"/>
      <c r="T239" s="91"/>
      <c r="U239" s="91"/>
      <c r="V239" s="91"/>
    </row>
    <row r="240" spans="1:22" ht="12" hidden="1" customHeight="1">
      <c r="A240" s="91"/>
      <c r="B240" s="91"/>
      <c r="C240" s="91"/>
      <c r="D240" s="91"/>
      <c r="E240" s="91"/>
      <c r="F240" s="92"/>
      <c r="G240" s="92"/>
      <c r="H240" s="92"/>
      <c r="I240" s="92"/>
      <c r="J240" s="91"/>
      <c r="K240" s="91"/>
      <c r="L240" s="91"/>
      <c r="M240" s="91"/>
      <c r="N240" s="91"/>
      <c r="O240" s="91"/>
      <c r="P240" s="91"/>
      <c r="Q240" s="91"/>
      <c r="R240" s="91"/>
      <c r="S240" s="91"/>
      <c r="T240" s="91"/>
      <c r="U240" s="91"/>
      <c r="V240" s="91"/>
    </row>
    <row r="241" spans="1:22" ht="12" hidden="1" customHeight="1">
      <c r="A241" s="91"/>
      <c r="B241" s="91"/>
      <c r="C241" s="91"/>
      <c r="D241" s="91"/>
      <c r="E241" s="91"/>
      <c r="F241" s="92"/>
      <c r="G241" s="92"/>
      <c r="H241" s="92"/>
      <c r="I241" s="92"/>
      <c r="J241" s="91"/>
      <c r="K241" s="91"/>
      <c r="L241" s="91"/>
      <c r="M241" s="91"/>
      <c r="N241" s="91"/>
      <c r="O241" s="91"/>
      <c r="P241" s="91"/>
      <c r="Q241" s="91"/>
      <c r="R241" s="91"/>
      <c r="S241" s="91"/>
      <c r="T241" s="91"/>
      <c r="U241" s="91"/>
      <c r="V241" s="91"/>
    </row>
    <row r="242" spans="1:22" ht="12" hidden="1" customHeight="1">
      <c r="A242" s="91"/>
      <c r="B242" s="91"/>
      <c r="C242" s="91"/>
      <c r="D242" s="91"/>
      <c r="E242" s="91"/>
      <c r="F242" s="92"/>
      <c r="G242" s="92"/>
      <c r="H242" s="92"/>
      <c r="I242" s="92"/>
      <c r="J242" s="91"/>
      <c r="K242" s="91"/>
      <c r="L242" s="91"/>
      <c r="M242" s="91"/>
      <c r="N242" s="91"/>
      <c r="O242" s="91"/>
      <c r="P242" s="91"/>
      <c r="Q242" s="91"/>
      <c r="R242" s="91"/>
      <c r="S242" s="91"/>
      <c r="T242" s="91"/>
      <c r="U242" s="91"/>
      <c r="V242" s="91"/>
    </row>
    <row r="243" spans="1:22" ht="12" hidden="1" customHeight="1">
      <c r="A243" s="91"/>
      <c r="B243" s="91"/>
      <c r="C243" s="91"/>
      <c r="D243" s="91"/>
      <c r="E243" s="91"/>
      <c r="F243" s="92"/>
      <c r="G243" s="92"/>
      <c r="H243" s="92"/>
      <c r="I243" s="92"/>
      <c r="J243" s="91"/>
      <c r="K243" s="91"/>
      <c r="L243" s="91"/>
      <c r="M243" s="91"/>
      <c r="N243" s="91"/>
      <c r="O243" s="91"/>
      <c r="P243" s="91"/>
      <c r="Q243" s="91"/>
      <c r="R243" s="91"/>
      <c r="S243" s="91"/>
      <c r="T243" s="91"/>
      <c r="U243" s="91"/>
      <c r="V243" s="91"/>
    </row>
    <row r="244" spans="1:22" ht="12" hidden="1" customHeight="1">
      <c r="A244" s="91"/>
      <c r="B244" s="91"/>
      <c r="C244" s="91"/>
      <c r="D244" s="91"/>
      <c r="E244" s="91"/>
      <c r="F244" s="92"/>
      <c r="G244" s="92"/>
      <c r="H244" s="92"/>
      <c r="I244" s="92"/>
      <c r="J244" s="91"/>
      <c r="K244" s="91"/>
      <c r="L244" s="91"/>
      <c r="M244" s="91"/>
      <c r="N244" s="91"/>
      <c r="O244" s="91"/>
      <c r="P244" s="91"/>
      <c r="Q244" s="91"/>
      <c r="R244" s="91"/>
      <c r="S244" s="91"/>
      <c r="T244" s="91"/>
      <c r="U244" s="91"/>
      <c r="V244" s="91"/>
    </row>
    <row r="245" spans="1:22" ht="12" hidden="1" customHeight="1">
      <c r="A245" s="91"/>
      <c r="B245" s="91"/>
      <c r="C245" s="91"/>
      <c r="D245" s="91"/>
      <c r="E245" s="91"/>
      <c r="F245" s="92"/>
      <c r="G245" s="92"/>
      <c r="H245" s="92"/>
      <c r="I245" s="92"/>
      <c r="J245" s="91"/>
      <c r="K245" s="91"/>
      <c r="L245" s="91"/>
      <c r="M245" s="91"/>
      <c r="N245" s="91"/>
      <c r="O245" s="91"/>
      <c r="P245" s="91"/>
      <c r="Q245" s="91"/>
      <c r="R245" s="91"/>
      <c r="S245" s="91"/>
      <c r="T245" s="91"/>
      <c r="U245" s="91"/>
      <c r="V245" s="91"/>
    </row>
    <row r="246" spans="1:22" ht="12" hidden="1" customHeight="1">
      <c r="A246" s="91"/>
      <c r="B246" s="91"/>
      <c r="C246" s="91"/>
      <c r="D246" s="91"/>
      <c r="E246" s="91"/>
      <c r="F246" s="92"/>
      <c r="G246" s="92"/>
      <c r="H246" s="92"/>
      <c r="I246" s="92"/>
      <c r="J246" s="91"/>
      <c r="K246" s="91"/>
      <c r="L246" s="91"/>
      <c r="M246" s="91"/>
      <c r="N246" s="91"/>
      <c r="O246" s="91"/>
      <c r="P246" s="91"/>
      <c r="Q246" s="91"/>
      <c r="R246" s="91"/>
      <c r="S246" s="91"/>
      <c r="T246" s="91"/>
      <c r="U246" s="91"/>
      <c r="V246" s="91"/>
    </row>
    <row r="247" spans="1:22" ht="12" hidden="1" customHeight="1">
      <c r="A247" s="91"/>
      <c r="B247" s="91"/>
      <c r="C247" s="91"/>
      <c r="D247" s="91"/>
      <c r="E247" s="91"/>
      <c r="F247" s="92"/>
      <c r="G247" s="92"/>
      <c r="H247" s="92"/>
      <c r="I247" s="92"/>
      <c r="J247" s="91"/>
      <c r="K247" s="91"/>
      <c r="L247" s="91"/>
      <c r="M247" s="91"/>
      <c r="N247" s="91"/>
      <c r="O247" s="91"/>
      <c r="P247" s="91"/>
      <c r="Q247" s="91"/>
      <c r="R247" s="91"/>
      <c r="S247" s="91"/>
      <c r="T247" s="91"/>
      <c r="U247" s="91"/>
      <c r="V247" s="91"/>
    </row>
    <row r="248" spans="1:22" ht="12" hidden="1" customHeight="1">
      <c r="A248" s="91"/>
      <c r="B248" s="91"/>
      <c r="C248" s="91"/>
      <c r="D248" s="91"/>
      <c r="E248" s="91"/>
      <c r="F248" s="92"/>
      <c r="G248" s="92"/>
      <c r="H248" s="92"/>
      <c r="I248" s="92"/>
      <c r="J248" s="91"/>
      <c r="K248" s="91"/>
      <c r="L248" s="91"/>
      <c r="M248" s="91"/>
      <c r="N248" s="91"/>
      <c r="O248" s="91"/>
      <c r="P248" s="91"/>
      <c r="Q248" s="91"/>
      <c r="R248" s="91"/>
      <c r="S248" s="91"/>
      <c r="T248" s="91"/>
      <c r="U248" s="91"/>
      <c r="V248" s="91"/>
    </row>
    <row r="249" spans="1:22" ht="12" hidden="1" customHeight="1">
      <c r="A249" s="91"/>
      <c r="B249" s="91"/>
      <c r="C249" s="91"/>
      <c r="D249" s="91"/>
      <c r="E249" s="91"/>
      <c r="F249" s="92"/>
      <c r="G249" s="92"/>
      <c r="H249" s="92"/>
      <c r="I249" s="92"/>
      <c r="J249" s="91"/>
      <c r="K249" s="91"/>
      <c r="L249" s="91"/>
      <c r="M249" s="91"/>
      <c r="N249" s="91"/>
      <c r="O249" s="91"/>
      <c r="P249" s="91"/>
      <c r="Q249" s="91"/>
      <c r="R249" s="91"/>
      <c r="S249" s="91"/>
      <c r="T249" s="91"/>
      <c r="U249" s="91"/>
      <c r="V249" s="91"/>
    </row>
    <row r="250" spans="1:22" ht="12" hidden="1" customHeight="1">
      <c r="A250" s="91"/>
      <c r="B250" s="91"/>
      <c r="C250" s="91"/>
      <c r="D250" s="91"/>
      <c r="E250" s="91"/>
      <c r="F250" s="92"/>
      <c r="G250" s="92"/>
      <c r="H250" s="92"/>
      <c r="I250" s="92"/>
      <c r="J250" s="91"/>
      <c r="K250" s="91"/>
      <c r="L250" s="91"/>
      <c r="M250" s="91"/>
      <c r="N250" s="91"/>
      <c r="O250" s="91"/>
      <c r="P250" s="91"/>
      <c r="Q250" s="91"/>
      <c r="R250" s="91"/>
      <c r="S250" s="91"/>
      <c r="T250" s="91"/>
      <c r="U250" s="91"/>
      <c r="V250" s="91"/>
    </row>
    <row r="251" spans="1:22" ht="12" hidden="1" customHeight="1">
      <c r="A251" s="91"/>
      <c r="B251" s="91"/>
      <c r="C251" s="91"/>
      <c r="D251" s="91"/>
      <c r="E251" s="91"/>
      <c r="F251" s="92"/>
      <c r="G251" s="92"/>
      <c r="H251" s="92"/>
      <c r="I251" s="92"/>
      <c r="J251" s="91"/>
      <c r="K251" s="91"/>
      <c r="L251" s="91"/>
      <c r="M251" s="91"/>
      <c r="N251" s="91"/>
      <c r="O251" s="91"/>
      <c r="P251" s="91"/>
      <c r="Q251" s="91"/>
      <c r="R251" s="91"/>
      <c r="S251" s="91"/>
      <c r="T251" s="91"/>
      <c r="U251" s="91"/>
      <c r="V251" s="91"/>
    </row>
    <row r="252" spans="1:22" ht="12" hidden="1" customHeight="1">
      <c r="A252" s="91"/>
      <c r="B252" s="91"/>
      <c r="C252" s="91"/>
      <c r="D252" s="91"/>
      <c r="E252" s="91"/>
      <c r="F252" s="92"/>
      <c r="G252" s="92"/>
      <c r="H252" s="92"/>
      <c r="I252" s="92"/>
      <c r="J252" s="91"/>
      <c r="K252" s="91"/>
      <c r="L252" s="91"/>
      <c r="M252" s="91"/>
      <c r="N252" s="91"/>
      <c r="O252" s="91"/>
      <c r="P252" s="91"/>
      <c r="Q252" s="91"/>
      <c r="R252" s="91"/>
      <c r="S252" s="91"/>
      <c r="T252" s="91"/>
      <c r="U252" s="91"/>
      <c r="V252" s="91"/>
    </row>
    <row r="253" spans="1:22" ht="12" hidden="1" customHeight="1">
      <c r="A253" s="91"/>
      <c r="B253" s="91"/>
      <c r="C253" s="91"/>
      <c r="D253" s="91"/>
      <c r="E253" s="91"/>
      <c r="F253" s="92"/>
      <c r="G253" s="92"/>
      <c r="H253" s="92"/>
      <c r="I253" s="92"/>
      <c r="J253" s="91"/>
      <c r="K253" s="91"/>
      <c r="L253" s="91"/>
      <c r="M253" s="91"/>
      <c r="N253" s="91"/>
      <c r="O253" s="91"/>
      <c r="P253" s="91"/>
      <c r="Q253" s="91"/>
      <c r="R253" s="91"/>
      <c r="S253" s="91"/>
      <c r="T253" s="91"/>
      <c r="U253" s="91"/>
      <c r="V253" s="91"/>
    </row>
    <row r="254" spans="1:22" ht="12" hidden="1" customHeight="1">
      <c r="A254" s="91"/>
      <c r="B254" s="91"/>
      <c r="C254" s="91"/>
      <c r="D254" s="91"/>
      <c r="E254" s="91"/>
      <c r="F254" s="92"/>
      <c r="G254" s="92"/>
      <c r="H254" s="92"/>
      <c r="I254" s="92"/>
      <c r="J254" s="91"/>
      <c r="K254" s="91"/>
      <c r="L254" s="91"/>
      <c r="M254" s="91"/>
      <c r="N254" s="91"/>
      <c r="O254" s="91"/>
      <c r="P254" s="91"/>
      <c r="Q254" s="91"/>
      <c r="R254" s="91"/>
      <c r="S254" s="91"/>
      <c r="T254" s="91"/>
      <c r="U254" s="91"/>
      <c r="V254" s="91"/>
    </row>
    <row r="255" spans="1:22" ht="12" hidden="1" customHeight="1">
      <c r="A255" s="91"/>
      <c r="B255" s="91"/>
      <c r="C255" s="91"/>
      <c r="D255" s="91"/>
      <c r="E255" s="91"/>
      <c r="F255" s="92"/>
      <c r="G255" s="92"/>
      <c r="H255" s="92"/>
      <c r="I255" s="92"/>
      <c r="J255" s="91"/>
      <c r="K255" s="91"/>
      <c r="L255" s="91"/>
      <c r="M255" s="91"/>
      <c r="N255" s="91"/>
      <c r="O255" s="91"/>
      <c r="P255" s="91"/>
      <c r="Q255" s="91"/>
      <c r="R255" s="91"/>
      <c r="S255" s="91"/>
      <c r="T255" s="91"/>
      <c r="U255" s="91"/>
      <c r="V255" s="91"/>
    </row>
    <row r="256" spans="1:22" ht="12" hidden="1" customHeight="1">
      <c r="A256" s="91"/>
      <c r="B256" s="91"/>
      <c r="C256" s="91"/>
      <c r="D256" s="91"/>
      <c r="E256" s="91"/>
      <c r="F256" s="92"/>
      <c r="G256" s="92"/>
      <c r="H256" s="92"/>
      <c r="I256" s="92"/>
      <c r="J256" s="91"/>
      <c r="K256" s="91"/>
      <c r="L256" s="91"/>
      <c r="M256" s="91"/>
      <c r="N256" s="91"/>
      <c r="O256" s="91"/>
      <c r="P256" s="91"/>
      <c r="Q256" s="91"/>
      <c r="R256" s="91"/>
      <c r="S256" s="91"/>
      <c r="T256" s="91"/>
      <c r="U256" s="91"/>
      <c r="V256" s="91"/>
    </row>
    <row r="257" spans="1:22" ht="12" hidden="1" customHeight="1">
      <c r="A257" s="91"/>
      <c r="B257" s="91"/>
      <c r="C257" s="91"/>
      <c r="D257" s="91"/>
      <c r="E257" s="91"/>
      <c r="F257" s="92"/>
      <c r="G257" s="92"/>
      <c r="H257" s="92"/>
      <c r="I257" s="92"/>
      <c r="J257" s="91"/>
      <c r="K257" s="91"/>
      <c r="L257" s="91"/>
      <c r="M257" s="91"/>
      <c r="N257" s="91"/>
      <c r="O257" s="91"/>
      <c r="P257" s="91"/>
      <c r="Q257" s="91"/>
      <c r="R257" s="91"/>
      <c r="S257" s="91"/>
      <c r="T257" s="91"/>
      <c r="U257" s="91"/>
      <c r="V257" s="91"/>
    </row>
    <row r="258" spans="1:22" ht="12" hidden="1" customHeight="1">
      <c r="A258" s="91"/>
      <c r="B258" s="91"/>
      <c r="C258" s="91"/>
      <c r="D258" s="91"/>
      <c r="E258" s="91"/>
      <c r="F258" s="92"/>
      <c r="G258" s="92"/>
      <c r="H258" s="92"/>
      <c r="I258" s="92"/>
      <c r="J258" s="91"/>
      <c r="K258" s="91"/>
      <c r="L258" s="91"/>
      <c r="M258" s="91"/>
      <c r="N258" s="91"/>
      <c r="O258" s="91"/>
      <c r="P258" s="91"/>
      <c r="Q258" s="91"/>
      <c r="R258" s="91"/>
      <c r="S258" s="91"/>
      <c r="T258" s="91"/>
      <c r="U258" s="91"/>
      <c r="V258" s="91"/>
    </row>
    <row r="259" spans="1:22" ht="12" hidden="1" customHeight="1">
      <c r="A259" s="91"/>
      <c r="B259" s="91"/>
      <c r="C259" s="91"/>
      <c r="D259" s="91"/>
      <c r="E259" s="91"/>
      <c r="F259" s="92"/>
      <c r="G259" s="92"/>
      <c r="H259" s="92"/>
      <c r="I259" s="92"/>
      <c r="J259" s="91"/>
      <c r="K259" s="91"/>
      <c r="L259" s="91"/>
      <c r="M259" s="91"/>
      <c r="N259" s="91"/>
      <c r="O259" s="91"/>
      <c r="P259" s="91"/>
      <c r="Q259" s="91"/>
      <c r="R259" s="91"/>
      <c r="S259" s="91"/>
      <c r="T259" s="91"/>
      <c r="U259" s="91"/>
      <c r="V259" s="91"/>
    </row>
    <row r="260" spans="1:22" ht="12" hidden="1" customHeight="1">
      <c r="A260" s="91"/>
      <c r="B260" s="91"/>
      <c r="C260" s="91"/>
      <c r="D260" s="91"/>
      <c r="E260" s="91"/>
      <c r="F260" s="92"/>
      <c r="G260" s="92"/>
      <c r="H260" s="92"/>
      <c r="I260" s="92"/>
      <c r="J260" s="91"/>
      <c r="K260" s="91"/>
      <c r="L260" s="91"/>
      <c r="M260" s="91"/>
      <c r="N260" s="91"/>
      <c r="O260" s="91"/>
      <c r="P260" s="91"/>
      <c r="Q260" s="91"/>
      <c r="R260" s="91"/>
      <c r="S260" s="91"/>
      <c r="T260" s="91"/>
      <c r="U260" s="91"/>
      <c r="V260" s="91"/>
    </row>
    <row r="261" spans="1:22" ht="12" hidden="1" customHeight="1">
      <c r="A261" s="91"/>
      <c r="B261" s="91"/>
      <c r="C261" s="91"/>
      <c r="D261" s="91"/>
      <c r="E261" s="91"/>
      <c r="F261" s="92"/>
      <c r="G261" s="92"/>
      <c r="H261" s="92"/>
      <c r="I261" s="92"/>
      <c r="J261" s="91"/>
      <c r="K261" s="91"/>
      <c r="L261" s="91"/>
      <c r="M261" s="91"/>
      <c r="N261" s="91"/>
      <c r="O261" s="91"/>
      <c r="P261" s="91"/>
      <c r="Q261" s="91"/>
      <c r="R261" s="91"/>
      <c r="S261" s="91"/>
      <c r="T261" s="91"/>
      <c r="U261" s="91"/>
      <c r="V261" s="91"/>
    </row>
    <row r="262" spans="1:22" ht="12" hidden="1" customHeight="1">
      <c r="A262" s="91"/>
      <c r="B262" s="91"/>
      <c r="C262" s="91"/>
      <c r="D262" s="91"/>
      <c r="E262" s="91"/>
      <c r="F262" s="92"/>
      <c r="G262" s="92"/>
      <c r="H262" s="92"/>
      <c r="I262" s="92"/>
      <c r="J262" s="91"/>
      <c r="K262" s="91"/>
      <c r="L262" s="91"/>
      <c r="M262" s="91"/>
      <c r="N262" s="91"/>
      <c r="O262" s="91"/>
      <c r="P262" s="91"/>
      <c r="Q262" s="91"/>
      <c r="R262" s="91"/>
      <c r="S262" s="91"/>
      <c r="T262" s="91"/>
      <c r="U262" s="91"/>
      <c r="V262" s="91"/>
    </row>
    <row r="263" spans="1:22" ht="12" hidden="1" customHeight="1">
      <c r="A263" s="91"/>
      <c r="B263" s="91"/>
      <c r="C263" s="91"/>
      <c r="D263" s="91"/>
      <c r="E263" s="91"/>
      <c r="F263" s="92"/>
      <c r="G263" s="92"/>
      <c r="H263" s="92"/>
      <c r="I263" s="92"/>
      <c r="J263" s="91"/>
      <c r="K263" s="91"/>
      <c r="L263" s="91"/>
      <c r="M263" s="91"/>
      <c r="N263" s="91"/>
      <c r="O263" s="91"/>
      <c r="P263" s="91"/>
      <c r="Q263" s="91"/>
      <c r="R263" s="91"/>
      <c r="S263" s="91"/>
      <c r="T263" s="91"/>
      <c r="U263" s="91"/>
      <c r="V263" s="91"/>
    </row>
    <row r="264" spans="1:22" ht="12" hidden="1" customHeight="1">
      <c r="A264" s="91"/>
      <c r="B264" s="91"/>
      <c r="C264" s="91"/>
      <c r="D264" s="91"/>
      <c r="E264" s="91"/>
      <c r="F264" s="92"/>
      <c r="G264" s="92"/>
      <c r="H264" s="92"/>
      <c r="I264" s="92"/>
      <c r="J264" s="91"/>
      <c r="K264" s="91"/>
      <c r="L264" s="91"/>
      <c r="M264" s="91"/>
      <c r="N264" s="91"/>
      <c r="O264" s="91"/>
      <c r="P264" s="91"/>
      <c r="Q264" s="91"/>
      <c r="R264" s="91"/>
      <c r="S264" s="91"/>
      <c r="T264" s="91"/>
      <c r="U264" s="91"/>
      <c r="V264" s="91"/>
    </row>
    <row r="265" spans="1:22" ht="12" hidden="1" customHeight="1">
      <c r="A265" s="91"/>
      <c r="B265" s="91"/>
      <c r="C265" s="91"/>
      <c r="D265" s="91"/>
      <c r="E265" s="91"/>
      <c r="F265" s="92"/>
      <c r="G265" s="92"/>
      <c r="H265" s="92"/>
      <c r="I265" s="92"/>
      <c r="J265" s="91"/>
      <c r="K265" s="91"/>
      <c r="L265" s="91"/>
      <c r="M265" s="91"/>
      <c r="N265" s="91"/>
      <c r="O265" s="91"/>
      <c r="P265" s="91"/>
      <c r="Q265" s="91"/>
      <c r="R265" s="91"/>
      <c r="S265" s="91"/>
      <c r="T265" s="91"/>
      <c r="U265" s="91"/>
      <c r="V265" s="91"/>
    </row>
    <row r="266" spans="1:22" ht="12" hidden="1" customHeight="1">
      <c r="A266" s="91"/>
      <c r="B266" s="91"/>
      <c r="C266" s="91"/>
      <c r="D266" s="91"/>
      <c r="E266" s="91"/>
      <c r="F266" s="92"/>
      <c r="G266" s="92"/>
      <c r="H266" s="92"/>
      <c r="I266" s="92"/>
      <c r="J266" s="91"/>
      <c r="K266" s="91"/>
      <c r="L266" s="91"/>
      <c r="M266" s="91"/>
      <c r="N266" s="91"/>
      <c r="O266" s="91"/>
      <c r="P266" s="91"/>
      <c r="Q266" s="91"/>
      <c r="R266" s="91"/>
      <c r="S266" s="91"/>
      <c r="T266" s="91"/>
      <c r="U266" s="91"/>
      <c r="V266" s="91"/>
    </row>
    <row r="267" spans="1:22" ht="12" hidden="1" customHeight="1">
      <c r="A267" s="91"/>
      <c r="B267" s="91"/>
      <c r="C267" s="91"/>
      <c r="D267" s="91"/>
      <c r="E267" s="91"/>
      <c r="F267" s="92"/>
      <c r="G267" s="92"/>
      <c r="H267" s="92"/>
      <c r="I267" s="92"/>
      <c r="J267" s="91"/>
      <c r="K267" s="91"/>
      <c r="L267" s="91"/>
      <c r="M267" s="91"/>
      <c r="N267" s="91"/>
      <c r="O267" s="91"/>
      <c r="P267" s="91"/>
      <c r="Q267" s="91"/>
      <c r="R267" s="91"/>
      <c r="S267" s="91"/>
      <c r="T267" s="91"/>
      <c r="U267" s="91"/>
      <c r="V267" s="91"/>
    </row>
    <row r="268" spans="1:22" ht="12" hidden="1" customHeight="1">
      <c r="A268" s="91"/>
      <c r="B268" s="91"/>
      <c r="C268" s="91"/>
      <c r="D268" s="91"/>
      <c r="E268" s="91"/>
      <c r="F268" s="92"/>
      <c r="G268" s="92"/>
      <c r="H268" s="92"/>
      <c r="I268" s="92"/>
      <c r="J268" s="91"/>
      <c r="K268" s="91"/>
      <c r="L268" s="91"/>
      <c r="M268" s="91"/>
      <c r="N268" s="91"/>
      <c r="O268" s="91"/>
      <c r="P268" s="91"/>
      <c r="Q268" s="91"/>
      <c r="R268" s="91"/>
      <c r="S268" s="91"/>
      <c r="T268" s="91"/>
      <c r="U268" s="91"/>
      <c r="V268" s="91"/>
    </row>
    <row r="269" spans="1:22" ht="12" hidden="1" customHeight="1">
      <c r="A269" s="91"/>
      <c r="B269" s="91"/>
      <c r="C269" s="91"/>
      <c r="D269" s="91"/>
      <c r="E269" s="91"/>
      <c r="F269" s="92"/>
      <c r="G269" s="92"/>
      <c r="H269" s="92"/>
      <c r="I269" s="92"/>
      <c r="J269" s="91"/>
      <c r="K269" s="91"/>
      <c r="L269" s="91"/>
      <c r="M269" s="91"/>
      <c r="N269" s="91"/>
      <c r="O269" s="91"/>
      <c r="P269" s="91"/>
      <c r="Q269" s="91"/>
      <c r="R269" s="91"/>
      <c r="S269" s="91"/>
      <c r="T269" s="91"/>
      <c r="U269" s="91"/>
      <c r="V269" s="91"/>
    </row>
    <row r="270" spans="1:22" ht="12" hidden="1" customHeight="1">
      <c r="A270" s="91"/>
      <c r="B270" s="91"/>
      <c r="C270" s="91"/>
      <c r="D270" s="91"/>
      <c r="E270" s="91"/>
      <c r="F270" s="92"/>
      <c r="G270" s="92"/>
      <c r="H270" s="92"/>
      <c r="I270" s="92"/>
      <c r="J270" s="91"/>
      <c r="K270" s="91"/>
      <c r="L270" s="91"/>
      <c r="M270" s="91"/>
      <c r="N270" s="91"/>
      <c r="O270" s="91"/>
      <c r="P270" s="91"/>
      <c r="Q270" s="91"/>
      <c r="R270" s="91"/>
      <c r="S270" s="91"/>
      <c r="T270" s="91"/>
      <c r="U270" s="91"/>
      <c r="V270" s="91"/>
    </row>
    <row r="271" spans="1:22" ht="12" hidden="1" customHeight="1">
      <c r="A271" s="91"/>
      <c r="B271" s="91"/>
      <c r="C271" s="91"/>
      <c r="D271" s="91"/>
      <c r="E271" s="91"/>
      <c r="F271" s="92"/>
      <c r="G271" s="92"/>
      <c r="H271" s="92"/>
      <c r="I271" s="92"/>
      <c r="J271" s="91"/>
      <c r="K271" s="91"/>
      <c r="L271" s="91"/>
      <c r="M271" s="91"/>
      <c r="N271" s="91"/>
      <c r="O271" s="91"/>
      <c r="P271" s="91"/>
      <c r="Q271" s="91"/>
      <c r="R271" s="91"/>
      <c r="S271" s="91"/>
      <c r="T271" s="91"/>
      <c r="U271" s="91"/>
      <c r="V271" s="91"/>
    </row>
    <row r="272" spans="1:22" ht="12" hidden="1" customHeight="1">
      <c r="A272" s="91"/>
      <c r="B272" s="91"/>
      <c r="C272" s="91"/>
      <c r="D272" s="91"/>
      <c r="E272" s="91"/>
      <c r="F272" s="92"/>
      <c r="G272" s="92"/>
      <c r="H272" s="92"/>
      <c r="I272" s="92"/>
      <c r="J272" s="91"/>
      <c r="K272" s="91"/>
      <c r="L272" s="91"/>
      <c r="M272" s="91"/>
      <c r="N272" s="91"/>
      <c r="O272" s="91"/>
      <c r="P272" s="91"/>
      <c r="Q272" s="91"/>
      <c r="R272" s="91"/>
      <c r="S272" s="91"/>
      <c r="T272" s="91"/>
      <c r="U272" s="91"/>
      <c r="V272" s="91"/>
    </row>
    <row r="273" spans="1:22" ht="12" hidden="1" customHeight="1">
      <c r="A273" s="91"/>
      <c r="B273" s="91"/>
      <c r="C273" s="91"/>
      <c r="D273" s="91"/>
      <c r="E273" s="91"/>
      <c r="F273" s="92"/>
      <c r="G273" s="92"/>
      <c r="H273" s="92"/>
      <c r="I273" s="92"/>
      <c r="J273" s="91"/>
      <c r="K273" s="91"/>
      <c r="L273" s="91"/>
      <c r="M273" s="91"/>
      <c r="N273" s="91"/>
      <c r="O273" s="91"/>
      <c r="P273" s="91"/>
      <c r="Q273" s="91"/>
      <c r="R273" s="91"/>
      <c r="S273" s="91"/>
      <c r="T273" s="91"/>
      <c r="U273" s="91"/>
      <c r="V273" s="91"/>
    </row>
    <row r="274" spans="1:22" ht="12" hidden="1" customHeight="1">
      <c r="A274" s="91"/>
      <c r="B274" s="91"/>
      <c r="C274" s="91"/>
      <c r="D274" s="91"/>
      <c r="E274" s="91"/>
      <c r="F274" s="92"/>
      <c r="G274" s="92"/>
      <c r="H274" s="92"/>
      <c r="I274" s="92"/>
      <c r="J274" s="91"/>
      <c r="K274" s="91"/>
      <c r="L274" s="91"/>
      <c r="M274" s="91"/>
      <c r="N274" s="91"/>
      <c r="O274" s="91"/>
      <c r="P274" s="91"/>
      <c r="Q274" s="91"/>
      <c r="R274" s="91"/>
      <c r="S274" s="91"/>
      <c r="T274" s="91"/>
      <c r="U274" s="91"/>
      <c r="V274" s="91"/>
    </row>
    <row r="275" spans="1:22" ht="12" hidden="1" customHeight="1">
      <c r="A275" s="91"/>
      <c r="B275" s="91"/>
      <c r="C275" s="91"/>
      <c r="D275" s="91"/>
      <c r="E275" s="91"/>
      <c r="F275" s="92"/>
      <c r="G275" s="92"/>
      <c r="H275" s="92"/>
      <c r="I275" s="92"/>
      <c r="J275" s="91"/>
      <c r="K275" s="91"/>
      <c r="L275" s="91"/>
      <c r="M275" s="91"/>
      <c r="N275" s="91"/>
      <c r="O275" s="91"/>
      <c r="P275" s="91"/>
      <c r="Q275" s="91"/>
      <c r="R275" s="91"/>
      <c r="S275" s="91"/>
      <c r="T275" s="91"/>
      <c r="U275" s="91"/>
      <c r="V275" s="91"/>
    </row>
    <row r="276" spans="1:22" ht="12" hidden="1" customHeight="1">
      <c r="A276" s="91"/>
      <c r="B276" s="91"/>
      <c r="C276" s="91"/>
      <c r="D276" s="91"/>
      <c r="E276" s="91"/>
      <c r="F276" s="92"/>
      <c r="G276" s="92"/>
      <c r="H276" s="92"/>
      <c r="I276" s="92"/>
      <c r="J276" s="91"/>
      <c r="K276" s="91"/>
      <c r="L276" s="91"/>
      <c r="M276" s="91"/>
      <c r="N276" s="91"/>
      <c r="O276" s="91"/>
      <c r="P276" s="91"/>
      <c r="Q276" s="91"/>
      <c r="R276" s="91"/>
      <c r="S276" s="91"/>
      <c r="T276" s="91"/>
      <c r="U276" s="91"/>
      <c r="V276" s="91"/>
    </row>
    <row r="277" spans="1:22" ht="12" hidden="1" customHeight="1">
      <c r="A277" s="91"/>
      <c r="B277" s="91"/>
      <c r="C277" s="91"/>
      <c r="D277" s="91"/>
      <c r="E277" s="91"/>
      <c r="F277" s="92"/>
      <c r="G277" s="92"/>
      <c r="H277" s="92"/>
      <c r="I277" s="92"/>
      <c r="J277" s="91"/>
      <c r="K277" s="91"/>
      <c r="L277" s="91"/>
      <c r="M277" s="91"/>
      <c r="N277" s="91"/>
      <c r="O277" s="91"/>
      <c r="P277" s="91"/>
      <c r="Q277" s="91"/>
      <c r="R277" s="91"/>
      <c r="S277" s="91"/>
      <c r="T277" s="91"/>
      <c r="U277" s="91"/>
      <c r="V277" s="91"/>
    </row>
    <row r="278" spans="1:22" ht="12" hidden="1" customHeight="1">
      <c r="A278" s="91"/>
      <c r="B278" s="91"/>
      <c r="C278" s="91"/>
      <c r="D278" s="91"/>
      <c r="E278" s="91"/>
      <c r="F278" s="92"/>
      <c r="G278" s="92"/>
      <c r="H278" s="92"/>
      <c r="I278" s="92"/>
      <c r="J278" s="91"/>
      <c r="K278" s="91"/>
      <c r="L278" s="91"/>
      <c r="M278" s="91"/>
      <c r="N278" s="91"/>
      <c r="O278" s="91"/>
      <c r="P278" s="91"/>
      <c r="Q278" s="91"/>
      <c r="R278" s="91"/>
      <c r="S278" s="91"/>
      <c r="T278" s="91"/>
      <c r="U278" s="91"/>
      <c r="V278" s="91"/>
    </row>
    <row r="279" spans="1:22" ht="12" hidden="1" customHeight="1">
      <c r="A279" s="91"/>
      <c r="B279" s="91"/>
      <c r="C279" s="91"/>
      <c r="D279" s="91"/>
      <c r="E279" s="91"/>
      <c r="F279" s="92"/>
      <c r="G279" s="92"/>
      <c r="H279" s="92"/>
      <c r="I279" s="92"/>
      <c r="J279" s="91"/>
      <c r="K279" s="91"/>
      <c r="L279" s="91"/>
      <c r="M279" s="91"/>
      <c r="N279" s="91"/>
      <c r="O279" s="91"/>
      <c r="P279" s="91"/>
      <c r="Q279" s="91"/>
      <c r="R279" s="91"/>
      <c r="S279" s="91"/>
      <c r="T279" s="91"/>
      <c r="U279" s="91"/>
      <c r="V279" s="91"/>
    </row>
    <row r="280" spans="1:22" ht="12" hidden="1" customHeight="1">
      <c r="A280" s="91"/>
      <c r="B280" s="91"/>
      <c r="C280" s="91"/>
      <c r="D280" s="91"/>
      <c r="E280" s="91"/>
      <c r="F280" s="92"/>
      <c r="G280" s="92"/>
      <c r="H280" s="92"/>
      <c r="I280" s="92"/>
      <c r="J280" s="91"/>
      <c r="K280" s="91"/>
      <c r="L280" s="91"/>
      <c r="M280" s="91"/>
      <c r="N280" s="91"/>
      <c r="O280" s="91"/>
      <c r="P280" s="91"/>
      <c r="Q280" s="91"/>
      <c r="R280" s="91"/>
      <c r="S280" s="91"/>
      <c r="T280" s="91"/>
      <c r="U280" s="91"/>
      <c r="V280" s="91"/>
    </row>
    <row r="281" spans="1:22" ht="12" hidden="1" customHeight="1">
      <c r="A281" s="91"/>
      <c r="B281" s="91"/>
      <c r="C281" s="91"/>
      <c r="D281" s="91"/>
      <c r="E281" s="91"/>
      <c r="F281" s="92"/>
      <c r="G281" s="92"/>
      <c r="H281" s="92"/>
      <c r="I281" s="92"/>
      <c r="J281" s="91"/>
      <c r="K281" s="91"/>
      <c r="L281" s="91"/>
      <c r="M281" s="91"/>
      <c r="N281" s="91"/>
      <c r="O281" s="91"/>
      <c r="P281" s="91"/>
      <c r="Q281" s="91"/>
      <c r="R281" s="91"/>
      <c r="S281" s="91"/>
      <c r="T281" s="91"/>
      <c r="U281" s="91"/>
      <c r="V281" s="91"/>
    </row>
    <row r="282" spans="1:22" ht="12" hidden="1" customHeight="1">
      <c r="A282" s="91"/>
      <c r="B282" s="91"/>
      <c r="C282" s="91"/>
      <c r="D282" s="91"/>
      <c r="E282" s="91"/>
      <c r="F282" s="92"/>
      <c r="G282" s="92"/>
      <c r="H282" s="92"/>
      <c r="I282" s="92"/>
      <c r="J282" s="91"/>
      <c r="K282" s="91"/>
      <c r="L282" s="91"/>
      <c r="M282" s="91"/>
      <c r="N282" s="91"/>
      <c r="O282" s="91"/>
      <c r="P282" s="91"/>
      <c r="Q282" s="91"/>
      <c r="R282" s="91"/>
      <c r="S282" s="91"/>
      <c r="T282" s="91"/>
      <c r="U282" s="91"/>
      <c r="V282" s="91"/>
    </row>
    <row r="283" spans="1:22" ht="12" hidden="1" customHeight="1">
      <c r="A283" s="91"/>
      <c r="B283" s="91"/>
      <c r="C283" s="91"/>
      <c r="D283" s="91"/>
      <c r="E283" s="91"/>
      <c r="F283" s="92"/>
      <c r="G283" s="92"/>
      <c r="H283" s="92"/>
      <c r="I283" s="92"/>
      <c r="J283" s="91"/>
      <c r="K283" s="91"/>
      <c r="L283" s="91"/>
      <c r="M283" s="91"/>
      <c r="N283" s="91"/>
      <c r="O283" s="91"/>
      <c r="P283" s="91"/>
      <c r="Q283" s="91"/>
      <c r="R283" s="91"/>
      <c r="S283" s="91"/>
      <c r="T283" s="91"/>
      <c r="U283" s="91"/>
      <c r="V283" s="91"/>
    </row>
    <row r="284" spans="1:22" ht="12" hidden="1" customHeight="1">
      <c r="A284" s="91"/>
      <c r="B284" s="91"/>
      <c r="C284" s="91"/>
      <c r="D284" s="91"/>
      <c r="E284" s="91"/>
      <c r="F284" s="92"/>
      <c r="G284" s="92"/>
      <c r="H284" s="92"/>
      <c r="I284" s="92"/>
      <c r="J284" s="91"/>
      <c r="K284" s="91"/>
      <c r="L284" s="91"/>
      <c r="M284" s="91"/>
      <c r="N284" s="91"/>
      <c r="O284" s="91"/>
      <c r="P284" s="91"/>
      <c r="Q284" s="91"/>
      <c r="R284" s="91"/>
      <c r="S284" s="91"/>
      <c r="T284" s="91"/>
      <c r="U284" s="91"/>
      <c r="V284" s="91"/>
    </row>
    <row r="285" spans="1:22" ht="12" hidden="1" customHeight="1">
      <c r="A285" s="91"/>
      <c r="B285" s="91"/>
      <c r="C285" s="91"/>
      <c r="D285" s="91"/>
      <c r="E285" s="91"/>
      <c r="F285" s="92"/>
      <c r="G285" s="92"/>
      <c r="H285" s="92"/>
      <c r="I285" s="92"/>
      <c r="J285" s="91"/>
      <c r="K285" s="91"/>
      <c r="L285" s="91"/>
      <c r="M285" s="91"/>
      <c r="N285" s="91"/>
      <c r="O285" s="91"/>
      <c r="P285" s="91"/>
      <c r="Q285" s="91"/>
      <c r="R285" s="91"/>
      <c r="S285" s="91"/>
      <c r="T285" s="91"/>
      <c r="U285" s="91"/>
      <c r="V285" s="91"/>
    </row>
    <row r="286" spans="1:22" ht="12" hidden="1" customHeight="1">
      <c r="A286" s="91"/>
      <c r="B286" s="91"/>
      <c r="C286" s="91"/>
      <c r="D286" s="91"/>
      <c r="E286" s="91"/>
      <c r="F286" s="92"/>
      <c r="G286" s="92"/>
      <c r="H286" s="92"/>
      <c r="I286" s="92"/>
      <c r="J286" s="91"/>
      <c r="K286" s="91"/>
      <c r="L286" s="91"/>
      <c r="M286" s="91"/>
      <c r="N286" s="91"/>
      <c r="O286" s="91"/>
      <c r="P286" s="91"/>
      <c r="Q286" s="91"/>
      <c r="R286" s="91"/>
      <c r="S286" s="91"/>
      <c r="T286" s="91"/>
      <c r="U286" s="91"/>
      <c r="V286" s="91"/>
    </row>
    <row r="287" spans="1:22" ht="12" hidden="1" customHeight="1">
      <c r="A287" s="91"/>
      <c r="B287" s="91"/>
      <c r="C287" s="91"/>
      <c r="D287" s="91"/>
      <c r="E287" s="91"/>
      <c r="F287" s="92"/>
      <c r="G287" s="92"/>
      <c r="H287" s="92"/>
      <c r="I287" s="92"/>
      <c r="J287" s="91"/>
      <c r="K287" s="91"/>
      <c r="L287" s="91"/>
      <c r="M287" s="91"/>
      <c r="N287" s="91"/>
      <c r="O287" s="91"/>
      <c r="P287" s="91"/>
      <c r="Q287" s="91"/>
      <c r="R287" s="91"/>
      <c r="S287" s="91"/>
      <c r="T287" s="91"/>
      <c r="U287" s="91"/>
      <c r="V287" s="91"/>
    </row>
    <row r="288" spans="1:22" ht="12" hidden="1" customHeight="1">
      <c r="A288" s="91"/>
      <c r="B288" s="91"/>
      <c r="C288" s="91"/>
      <c r="D288" s="91"/>
      <c r="E288" s="91"/>
      <c r="F288" s="92"/>
      <c r="G288" s="92"/>
      <c r="H288" s="92"/>
      <c r="I288" s="92"/>
      <c r="J288" s="91"/>
      <c r="K288" s="91"/>
      <c r="L288" s="91"/>
      <c r="M288" s="91"/>
      <c r="N288" s="91"/>
      <c r="O288" s="91"/>
      <c r="P288" s="91"/>
      <c r="Q288" s="91"/>
      <c r="R288" s="91"/>
      <c r="S288" s="91"/>
      <c r="T288" s="91"/>
      <c r="U288" s="91"/>
      <c r="V288" s="91"/>
    </row>
    <row r="289" spans="1:22" ht="12" hidden="1" customHeight="1">
      <c r="A289" s="91"/>
      <c r="B289" s="91"/>
      <c r="C289" s="91"/>
      <c r="D289" s="91"/>
      <c r="E289" s="91"/>
      <c r="F289" s="92"/>
      <c r="G289" s="92"/>
      <c r="H289" s="92"/>
      <c r="I289" s="92"/>
      <c r="J289" s="91"/>
      <c r="K289" s="91"/>
      <c r="L289" s="91"/>
      <c r="M289" s="91"/>
      <c r="N289" s="91"/>
      <c r="O289" s="91"/>
      <c r="P289" s="91"/>
      <c r="Q289" s="91"/>
      <c r="R289" s="91"/>
      <c r="S289" s="91"/>
      <c r="T289" s="91"/>
      <c r="U289" s="91"/>
      <c r="V289" s="91"/>
    </row>
    <row r="290" spans="1:22" ht="12" hidden="1" customHeight="1">
      <c r="A290" s="91"/>
      <c r="B290" s="91"/>
      <c r="C290" s="91"/>
      <c r="D290" s="91"/>
      <c r="E290" s="91"/>
      <c r="F290" s="92"/>
      <c r="G290" s="92"/>
      <c r="H290" s="92"/>
      <c r="I290" s="92"/>
      <c r="J290" s="91"/>
      <c r="K290" s="91"/>
      <c r="L290" s="91"/>
      <c r="M290" s="91"/>
      <c r="N290" s="91"/>
      <c r="O290" s="91"/>
      <c r="P290" s="91"/>
      <c r="Q290" s="91"/>
      <c r="R290" s="91"/>
      <c r="S290" s="91"/>
      <c r="T290" s="91"/>
      <c r="U290" s="91"/>
      <c r="V290" s="91"/>
    </row>
    <row r="291" spans="1:22" ht="12" hidden="1" customHeight="1">
      <c r="A291" s="91"/>
      <c r="B291" s="91"/>
      <c r="C291" s="91"/>
      <c r="D291" s="91"/>
      <c r="E291" s="91"/>
      <c r="F291" s="92"/>
      <c r="G291" s="92"/>
      <c r="H291" s="92"/>
      <c r="I291" s="92"/>
      <c r="J291" s="91"/>
      <c r="K291" s="91"/>
      <c r="L291" s="91"/>
      <c r="M291" s="91"/>
      <c r="N291" s="91"/>
      <c r="O291" s="91"/>
      <c r="P291" s="91"/>
      <c r="Q291" s="91"/>
      <c r="R291" s="91"/>
      <c r="S291" s="91"/>
      <c r="T291" s="91"/>
      <c r="U291" s="91"/>
      <c r="V291" s="91"/>
    </row>
    <row r="292" spans="1:22" ht="12" hidden="1" customHeight="1">
      <c r="A292" s="91"/>
      <c r="B292" s="91"/>
      <c r="C292" s="91"/>
      <c r="D292" s="91"/>
      <c r="E292" s="91"/>
      <c r="F292" s="92"/>
      <c r="G292" s="92"/>
      <c r="H292" s="92"/>
      <c r="I292" s="92"/>
      <c r="J292" s="91"/>
      <c r="K292" s="91"/>
      <c r="L292" s="91"/>
      <c r="M292" s="91"/>
      <c r="N292" s="91"/>
      <c r="O292" s="91"/>
      <c r="P292" s="91"/>
      <c r="Q292" s="91"/>
      <c r="R292" s="91"/>
      <c r="S292" s="91"/>
      <c r="T292" s="91"/>
      <c r="U292" s="91"/>
      <c r="V292" s="91"/>
    </row>
    <row r="293" spans="1:22" ht="12" hidden="1" customHeight="1">
      <c r="A293" s="91"/>
      <c r="B293" s="91"/>
      <c r="C293" s="91"/>
      <c r="D293" s="91"/>
      <c r="E293" s="91"/>
      <c r="F293" s="92"/>
      <c r="G293" s="92"/>
      <c r="H293" s="92"/>
      <c r="I293" s="92"/>
      <c r="J293" s="91"/>
      <c r="K293" s="91"/>
      <c r="L293" s="91"/>
      <c r="M293" s="91"/>
      <c r="N293" s="91"/>
      <c r="O293" s="91"/>
      <c r="P293" s="91"/>
      <c r="Q293" s="91"/>
      <c r="R293" s="91"/>
      <c r="S293" s="91"/>
      <c r="T293" s="91"/>
      <c r="U293" s="91"/>
      <c r="V293" s="91"/>
    </row>
    <row r="294" spans="1:22" ht="12" hidden="1" customHeight="1">
      <c r="A294" s="91"/>
      <c r="B294" s="91"/>
      <c r="C294" s="91"/>
      <c r="D294" s="91"/>
      <c r="E294" s="91"/>
      <c r="F294" s="92"/>
      <c r="G294" s="92"/>
      <c r="H294" s="92"/>
      <c r="I294" s="92"/>
      <c r="J294" s="91"/>
      <c r="K294" s="91"/>
      <c r="L294" s="91"/>
      <c r="M294" s="91"/>
      <c r="N294" s="91"/>
      <c r="O294" s="91"/>
      <c r="P294" s="91"/>
      <c r="Q294" s="91"/>
      <c r="R294" s="91"/>
      <c r="S294" s="91"/>
      <c r="T294" s="91"/>
      <c r="U294" s="91"/>
      <c r="V294" s="91"/>
    </row>
    <row r="295" spans="1:22" ht="12" hidden="1" customHeight="1">
      <c r="A295" s="91"/>
      <c r="B295" s="91"/>
      <c r="C295" s="91"/>
      <c r="D295" s="91"/>
      <c r="E295" s="91"/>
      <c r="F295" s="92"/>
      <c r="G295" s="92"/>
      <c r="H295" s="92"/>
      <c r="I295" s="92"/>
      <c r="J295" s="91"/>
      <c r="K295" s="91"/>
      <c r="L295" s="91"/>
      <c r="M295" s="91"/>
      <c r="N295" s="91"/>
      <c r="O295" s="91"/>
      <c r="P295" s="91"/>
      <c r="Q295" s="91"/>
      <c r="R295" s="91"/>
      <c r="S295" s="91"/>
      <c r="T295" s="91"/>
      <c r="U295" s="91"/>
      <c r="V295" s="91"/>
    </row>
    <row r="296" spans="1:22" ht="12" hidden="1" customHeight="1">
      <c r="A296" s="91"/>
      <c r="B296" s="91"/>
      <c r="C296" s="91"/>
      <c r="D296" s="91"/>
      <c r="E296" s="91"/>
      <c r="F296" s="92"/>
      <c r="G296" s="92"/>
      <c r="H296" s="92"/>
      <c r="I296" s="92"/>
      <c r="J296" s="91"/>
      <c r="K296" s="91"/>
      <c r="L296" s="91"/>
      <c r="M296" s="91"/>
      <c r="N296" s="91"/>
      <c r="O296" s="91"/>
      <c r="P296" s="91"/>
      <c r="Q296" s="91"/>
      <c r="R296" s="91"/>
      <c r="S296" s="91"/>
      <c r="T296" s="91"/>
      <c r="U296" s="91"/>
      <c r="V296" s="91"/>
    </row>
    <row r="297" spans="1:22" ht="12" hidden="1" customHeight="1">
      <c r="A297" s="91"/>
      <c r="B297" s="91"/>
      <c r="C297" s="91"/>
      <c r="D297" s="91"/>
      <c r="E297" s="91"/>
      <c r="F297" s="92"/>
      <c r="G297" s="92"/>
      <c r="H297" s="92"/>
      <c r="I297" s="92"/>
      <c r="J297" s="91"/>
      <c r="K297" s="91"/>
      <c r="L297" s="91"/>
      <c r="M297" s="91"/>
      <c r="N297" s="91"/>
      <c r="O297" s="91"/>
      <c r="P297" s="91"/>
      <c r="Q297" s="91"/>
      <c r="R297" s="91"/>
      <c r="S297" s="91"/>
      <c r="T297" s="91"/>
      <c r="U297" s="91"/>
      <c r="V297" s="91"/>
    </row>
    <row r="298" spans="1:22" ht="12" hidden="1" customHeight="1">
      <c r="A298" s="91"/>
      <c r="B298" s="91"/>
      <c r="C298" s="91"/>
      <c r="D298" s="91"/>
      <c r="E298" s="91"/>
      <c r="F298" s="92"/>
      <c r="G298" s="92"/>
      <c r="H298" s="92"/>
      <c r="I298" s="92"/>
      <c r="J298" s="91"/>
      <c r="K298" s="91"/>
      <c r="L298" s="91"/>
      <c r="M298" s="91"/>
      <c r="N298" s="91"/>
      <c r="O298" s="91"/>
      <c r="P298" s="91"/>
      <c r="Q298" s="91"/>
      <c r="R298" s="91"/>
      <c r="S298" s="91"/>
      <c r="T298" s="91"/>
      <c r="U298" s="91"/>
      <c r="V298" s="91"/>
    </row>
    <row r="299" spans="1:22" ht="12" hidden="1" customHeight="1">
      <c r="A299" s="91"/>
      <c r="B299" s="91"/>
      <c r="C299" s="91"/>
      <c r="D299" s="91"/>
      <c r="E299" s="91"/>
      <c r="F299" s="92"/>
      <c r="G299" s="92"/>
      <c r="H299" s="92"/>
      <c r="I299" s="92"/>
      <c r="J299" s="91"/>
      <c r="K299" s="91"/>
      <c r="L299" s="91"/>
      <c r="M299" s="91"/>
      <c r="N299" s="91"/>
      <c r="O299" s="91"/>
      <c r="P299" s="91"/>
      <c r="Q299" s="91"/>
      <c r="R299" s="91"/>
      <c r="S299" s="91"/>
      <c r="T299" s="91"/>
      <c r="U299" s="91"/>
      <c r="V299" s="91"/>
    </row>
    <row r="300" spans="1:22" ht="12" hidden="1" customHeight="1">
      <c r="A300" s="91"/>
      <c r="B300" s="91"/>
      <c r="C300" s="91"/>
      <c r="D300" s="91"/>
      <c r="E300" s="91"/>
      <c r="F300" s="92"/>
      <c r="G300" s="92"/>
      <c r="H300" s="92"/>
      <c r="I300" s="92"/>
      <c r="J300" s="91"/>
      <c r="K300" s="91"/>
      <c r="L300" s="91"/>
      <c r="M300" s="91"/>
      <c r="N300" s="91"/>
      <c r="O300" s="91"/>
      <c r="P300" s="91"/>
      <c r="Q300" s="91"/>
      <c r="R300" s="91"/>
      <c r="S300" s="91"/>
      <c r="T300" s="91"/>
      <c r="U300" s="91"/>
      <c r="V300" s="91"/>
    </row>
    <row r="301" spans="1:22" ht="12" hidden="1" customHeight="1">
      <c r="A301" s="91"/>
      <c r="B301" s="91"/>
      <c r="C301" s="91"/>
      <c r="D301" s="91"/>
      <c r="E301" s="91"/>
      <c r="F301" s="92"/>
      <c r="G301" s="92"/>
      <c r="H301" s="92"/>
      <c r="I301" s="92"/>
      <c r="J301" s="91"/>
      <c r="K301" s="91"/>
      <c r="L301" s="91"/>
      <c r="M301" s="91"/>
      <c r="N301" s="91"/>
      <c r="O301" s="91"/>
      <c r="P301" s="91"/>
      <c r="Q301" s="91"/>
      <c r="R301" s="91"/>
      <c r="S301" s="91"/>
      <c r="T301" s="91"/>
      <c r="U301" s="91"/>
      <c r="V301" s="91"/>
    </row>
    <row r="302" spans="1:22" ht="12" hidden="1" customHeight="1">
      <c r="A302" s="91"/>
      <c r="B302" s="91"/>
      <c r="C302" s="91"/>
      <c r="D302" s="91"/>
      <c r="E302" s="91"/>
      <c r="F302" s="92"/>
      <c r="G302" s="92"/>
      <c r="H302" s="92"/>
      <c r="I302" s="92"/>
      <c r="J302" s="91"/>
      <c r="K302" s="91"/>
      <c r="L302" s="91"/>
      <c r="M302" s="91"/>
      <c r="N302" s="91"/>
      <c r="O302" s="91"/>
      <c r="P302" s="91"/>
      <c r="Q302" s="91"/>
      <c r="R302" s="91"/>
      <c r="S302" s="91"/>
      <c r="T302" s="91"/>
      <c r="U302" s="91"/>
      <c r="V302" s="91"/>
    </row>
    <row r="303" spans="1:22" ht="12" hidden="1" customHeight="1">
      <c r="A303" s="91"/>
      <c r="B303" s="91"/>
      <c r="C303" s="91"/>
      <c r="D303" s="91"/>
      <c r="E303" s="91"/>
      <c r="F303" s="92"/>
      <c r="G303" s="92"/>
      <c r="H303" s="92"/>
      <c r="I303" s="92"/>
      <c r="J303" s="91"/>
      <c r="K303" s="91"/>
      <c r="L303" s="91"/>
      <c r="M303" s="91"/>
      <c r="N303" s="91"/>
      <c r="O303" s="91"/>
      <c r="P303" s="91"/>
      <c r="Q303" s="91"/>
      <c r="R303" s="91"/>
      <c r="S303" s="91"/>
      <c r="T303" s="91"/>
      <c r="U303" s="91"/>
      <c r="V303" s="91"/>
    </row>
    <row r="304" spans="1:22" ht="12" hidden="1" customHeight="1">
      <c r="A304" s="91"/>
      <c r="B304" s="91"/>
      <c r="C304" s="91"/>
      <c r="D304" s="91"/>
      <c r="E304" s="91"/>
      <c r="F304" s="92"/>
      <c r="G304" s="92"/>
      <c r="H304" s="92"/>
      <c r="I304" s="92"/>
      <c r="J304" s="91"/>
      <c r="K304" s="91"/>
      <c r="L304" s="91"/>
      <c r="M304" s="91"/>
      <c r="N304" s="91"/>
      <c r="O304" s="91"/>
      <c r="P304" s="91"/>
      <c r="Q304" s="91"/>
      <c r="R304" s="91"/>
      <c r="S304" s="91"/>
      <c r="T304" s="91"/>
      <c r="U304" s="91"/>
      <c r="V304" s="91"/>
    </row>
    <row r="305" spans="1:22" ht="12" hidden="1" customHeight="1">
      <c r="A305" s="91"/>
      <c r="B305" s="91"/>
      <c r="C305" s="91"/>
      <c r="D305" s="91"/>
      <c r="E305" s="91"/>
      <c r="F305" s="92"/>
      <c r="G305" s="92"/>
      <c r="H305" s="92"/>
      <c r="I305" s="92"/>
      <c r="J305" s="91"/>
      <c r="K305" s="91"/>
      <c r="L305" s="91"/>
      <c r="M305" s="91"/>
      <c r="N305" s="91"/>
      <c r="O305" s="91"/>
      <c r="P305" s="91"/>
      <c r="Q305" s="91"/>
      <c r="R305" s="91"/>
      <c r="S305" s="91"/>
      <c r="T305" s="91"/>
      <c r="U305" s="91"/>
      <c r="V305" s="91"/>
    </row>
    <row r="306" spans="1:22" ht="12" hidden="1" customHeight="1">
      <c r="A306" s="91"/>
      <c r="B306" s="91"/>
      <c r="C306" s="91"/>
      <c r="D306" s="91"/>
      <c r="E306" s="91"/>
      <c r="F306" s="92"/>
      <c r="G306" s="92"/>
      <c r="H306" s="92"/>
      <c r="I306" s="92"/>
      <c r="J306" s="91"/>
      <c r="K306" s="91"/>
      <c r="L306" s="91"/>
      <c r="M306" s="91"/>
      <c r="N306" s="91"/>
      <c r="O306" s="91"/>
      <c r="P306" s="91"/>
      <c r="Q306" s="91"/>
      <c r="R306" s="91"/>
      <c r="S306" s="91"/>
      <c r="T306" s="91"/>
      <c r="U306" s="91"/>
      <c r="V306" s="91"/>
    </row>
    <row r="307" spans="1:22" ht="12" hidden="1" customHeight="1">
      <c r="A307" s="91"/>
      <c r="B307" s="91"/>
      <c r="C307" s="91"/>
      <c r="D307" s="91"/>
      <c r="E307" s="91"/>
      <c r="F307" s="92"/>
      <c r="G307" s="92"/>
      <c r="H307" s="92"/>
      <c r="I307" s="92"/>
      <c r="J307" s="91"/>
      <c r="K307" s="91"/>
      <c r="L307" s="91"/>
      <c r="M307" s="91"/>
      <c r="N307" s="91"/>
      <c r="O307" s="91"/>
      <c r="P307" s="91"/>
      <c r="Q307" s="91"/>
      <c r="R307" s="91"/>
      <c r="S307" s="91"/>
      <c r="T307" s="91"/>
      <c r="U307" s="91"/>
      <c r="V307" s="91"/>
    </row>
    <row r="308" spans="1:22" ht="12" hidden="1" customHeight="1">
      <c r="A308" s="91"/>
      <c r="B308" s="91"/>
      <c r="C308" s="91"/>
      <c r="D308" s="91"/>
      <c r="E308" s="91"/>
      <c r="F308" s="92"/>
      <c r="G308" s="92"/>
      <c r="H308" s="92"/>
      <c r="I308" s="92"/>
      <c r="J308" s="91"/>
      <c r="K308" s="91"/>
      <c r="L308" s="91"/>
      <c r="M308" s="91"/>
      <c r="N308" s="91"/>
      <c r="O308" s="91"/>
      <c r="P308" s="91"/>
      <c r="Q308" s="91"/>
      <c r="R308" s="91"/>
      <c r="S308" s="91"/>
      <c r="T308" s="91"/>
      <c r="U308" s="91"/>
      <c r="V308" s="91"/>
    </row>
    <row r="309" spans="1:22" ht="12" hidden="1" customHeight="1">
      <c r="A309" s="91"/>
      <c r="B309" s="91"/>
      <c r="C309" s="91"/>
      <c r="D309" s="91"/>
      <c r="E309" s="91"/>
      <c r="F309" s="92"/>
      <c r="G309" s="92"/>
      <c r="H309" s="92"/>
      <c r="I309" s="92"/>
      <c r="J309" s="91"/>
      <c r="K309" s="91"/>
      <c r="L309" s="91"/>
      <c r="M309" s="91"/>
      <c r="N309" s="91"/>
      <c r="O309" s="91"/>
      <c r="P309" s="91"/>
      <c r="Q309" s="91"/>
      <c r="R309" s="91"/>
      <c r="S309" s="91"/>
      <c r="T309" s="91"/>
      <c r="U309" s="91"/>
      <c r="V309" s="91"/>
    </row>
    <row r="310" spans="1:22" ht="12" hidden="1" customHeight="1">
      <c r="A310" s="91"/>
      <c r="B310" s="91"/>
      <c r="C310" s="91"/>
      <c r="D310" s="91"/>
      <c r="E310" s="91"/>
      <c r="F310" s="92"/>
      <c r="G310" s="92"/>
      <c r="H310" s="92"/>
      <c r="I310" s="92"/>
      <c r="J310" s="91"/>
      <c r="K310" s="91"/>
      <c r="L310" s="91"/>
      <c r="M310" s="91"/>
      <c r="N310" s="91"/>
      <c r="O310" s="91"/>
      <c r="P310" s="91"/>
      <c r="Q310" s="91"/>
      <c r="R310" s="91"/>
      <c r="S310" s="91"/>
      <c r="T310" s="91"/>
      <c r="U310" s="91"/>
      <c r="V310" s="91"/>
    </row>
    <row r="311" spans="1:22" ht="12" hidden="1" customHeight="1">
      <c r="A311" s="91"/>
      <c r="B311" s="91"/>
      <c r="C311" s="91"/>
      <c r="D311" s="91"/>
      <c r="E311" s="91"/>
      <c r="F311" s="92"/>
      <c r="G311" s="92"/>
      <c r="H311" s="92"/>
      <c r="I311" s="92"/>
      <c r="J311" s="91"/>
      <c r="K311" s="91"/>
      <c r="L311" s="91"/>
      <c r="M311" s="91"/>
      <c r="N311" s="91"/>
      <c r="O311" s="91"/>
      <c r="P311" s="91"/>
      <c r="Q311" s="91"/>
      <c r="R311" s="91"/>
      <c r="S311" s="91"/>
      <c r="T311" s="91"/>
      <c r="U311" s="91"/>
      <c r="V311" s="91"/>
    </row>
    <row r="312" spans="1:22" ht="12" hidden="1" customHeight="1">
      <c r="A312" s="91"/>
      <c r="B312" s="91"/>
      <c r="C312" s="91"/>
      <c r="D312" s="91"/>
      <c r="E312" s="91"/>
      <c r="F312" s="92"/>
      <c r="G312" s="92"/>
      <c r="H312" s="92"/>
      <c r="I312" s="92"/>
      <c r="J312" s="91"/>
      <c r="K312" s="91"/>
      <c r="L312" s="91"/>
      <c r="M312" s="91"/>
      <c r="N312" s="91"/>
      <c r="O312" s="91"/>
      <c r="P312" s="91"/>
      <c r="Q312" s="91"/>
      <c r="R312" s="91"/>
      <c r="S312" s="91"/>
      <c r="T312" s="91"/>
      <c r="U312" s="91"/>
      <c r="V312" s="91"/>
    </row>
    <row r="313" spans="1:22" ht="12" hidden="1" customHeight="1">
      <c r="A313" s="91"/>
      <c r="B313" s="91"/>
      <c r="C313" s="91"/>
      <c r="D313" s="91"/>
      <c r="E313" s="91"/>
      <c r="F313" s="92"/>
      <c r="G313" s="92"/>
      <c r="H313" s="92"/>
      <c r="I313" s="92"/>
      <c r="J313" s="91"/>
      <c r="K313" s="91"/>
      <c r="L313" s="91"/>
      <c r="M313" s="91"/>
      <c r="N313" s="91"/>
      <c r="O313" s="91"/>
      <c r="P313" s="91"/>
      <c r="Q313" s="91"/>
      <c r="R313" s="91"/>
      <c r="S313" s="91"/>
      <c r="T313" s="91"/>
      <c r="U313" s="91"/>
      <c r="V313" s="91"/>
    </row>
    <row r="314" spans="1:22" ht="12" hidden="1" customHeight="1">
      <c r="A314" s="91"/>
      <c r="B314" s="91"/>
      <c r="C314" s="91"/>
      <c r="D314" s="91"/>
      <c r="E314" s="91"/>
      <c r="F314" s="92"/>
      <c r="G314" s="92"/>
      <c r="H314" s="92"/>
      <c r="I314" s="92"/>
      <c r="J314" s="91"/>
      <c r="K314" s="91"/>
      <c r="L314" s="91"/>
      <c r="M314" s="91"/>
      <c r="N314" s="91"/>
      <c r="O314" s="91"/>
      <c r="P314" s="91"/>
      <c r="Q314" s="91"/>
      <c r="R314" s="91"/>
      <c r="S314" s="91"/>
      <c r="T314" s="91"/>
      <c r="U314" s="91"/>
      <c r="V314" s="91"/>
    </row>
    <row r="315" spans="1:22" ht="12" hidden="1" customHeight="1">
      <c r="A315" s="91"/>
      <c r="B315" s="91"/>
      <c r="C315" s="91"/>
      <c r="D315" s="91"/>
      <c r="E315" s="91"/>
      <c r="F315" s="92"/>
      <c r="G315" s="92"/>
      <c r="H315" s="92"/>
      <c r="I315" s="92"/>
      <c r="J315" s="91"/>
      <c r="K315" s="91"/>
      <c r="L315" s="91"/>
      <c r="M315" s="91"/>
      <c r="N315" s="91"/>
      <c r="O315" s="91"/>
      <c r="P315" s="91"/>
      <c r="Q315" s="91"/>
      <c r="R315" s="91"/>
      <c r="S315" s="91"/>
      <c r="T315" s="91"/>
      <c r="U315" s="91"/>
      <c r="V315" s="91"/>
    </row>
    <row r="316" spans="1:22" ht="12" hidden="1" customHeight="1">
      <c r="A316" s="91"/>
      <c r="B316" s="91"/>
      <c r="C316" s="91"/>
      <c r="D316" s="91"/>
      <c r="E316" s="91"/>
      <c r="F316" s="92"/>
      <c r="G316" s="92"/>
      <c r="H316" s="92"/>
      <c r="I316" s="92"/>
      <c r="J316" s="91"/>
      <c r="K316" s="91"/>
      <c r="L316" s="91"/>
      <c r="M316" s="91"/>
      <c r="N316" s="91"/>
      <c r="O316" s="91"/>
      <c r="P316" s="91"/>
      <c r="Q316" s="91"/>
      <c r="R316" s="91"/>
      <c r="S316" s="91"/>
      <c r="T316" s="91"/>
      <c r="U316" s="91"/>
      <c r="V316" s="91"/>
    </row>
    <row r="317" spans="1:22" ht="12" hidden="1" customHeight="1">
      <c r="A317" s="91"/>
      <c r="B317" s="91"/>
      <c r="C317" s="91"/>
      <c r="D317" s="91"/>
      <c r="E317" s="91"/>
      <c r="F317" s="92"/>
      <c r="G317" s="92"/>
      <c r="H317" s="92"/>
      <c r="I317" s="92"/>
      <c r="J317" s="91"/>
      <c r="K317" s="91"/>
      <c r="L317" s="91"/>
      <c r="M317" s="91"/>
      <c r="N317" s="91"/>
      <c r="O317" s="91"/>
      <c r="P317" s="91"/>
      <c r="Q317" s="91"/>
      <c r="R317" s="91"/>
      <c r="S317" s="91"/>
      <c r="T317" s="91"/>
      <c r="U317" s="91"/>
      <c r="V317" s="91"/>
    </row>
    <row r="318" spans="1:22" ht="12" hidden="1" customHeight="1">
      <c r="A318" s="91"/>
      <c r="B318" s="91"/>
      <c r="C318" s="91"/>
      <c r="D318" s="91"/>
      <c r="E318" s="91"/>
      <c r="F318" s="92"/>
      <c r="G318" s="92"/>
      <c r="H318" s="92"/>
      <c r="I318" s="92"/>
      <c r="J318" s="91"/>
      <c r="K318" s="91"/>
      <c r="L318" s="91"/>
      <c r="M318" s="91"/>
      <c r="N318" s="91"/>
      <c r="O318" s="91"/>
      <c r="P318" s="91"/>
      <c r="Q318" s="91"/>
      <c r="R318" s="91"/>
      <c r="S318" s="91"/>
      <c r="T318" s="91"/>
      <c r="U318" s="91"/>
      <c r="V318" s="91"/>
    </row>
    <row r="319" spans="1:22" ht="12" hidden="1" customHeight="1">
      <c r="A319" s="91"/>
      <c r="B319" s="91"/>
      <c r="C319" s="91"/>
      <c r="D319" s="91"/>
      <c r="E319" s="91"/>
      <c r="F319" s="92"/>
      <c r="G319" s="92"/>
      <c r="H319" s="92"/>
      <c r="I319" s="92"/>
      <c r="J319" s="91"/>
      <c r="K319" s="91"/>
      <c r="L319" s="91"/>
      <c r="M319" s="91"/>
      <c r="N319" s="91"/>
      <c r="O319" s="91"/>
      <c r="P319" s="91"/>
      <c r="Q319" s="91"/>
      <c r="R319" s="91"/>
      <c r="S319" s="91"/>
      <c r="T319" s="91"/>
      <c r="U319" s="91"/>
      <c r="V319" s="91"/>
    </row>
    <row r="320" spans="1:22" ht="12" hidden="1" customHeight="1">
      <c r="A320" s="91"/>
      <c r="B320" s="91"/>
      <c r="C320" s="91"/>
      <c r="D320" s="91"/>
      <c r="E320" s="91"/>
      <c r="F320" s="92"/>
      <c r="G320" s="92"/>
      <c r="H320" s="92"/>
      <c r="I320" s="92"/>
      <c r="J320" s="91"/>
      <c r="K320" s="91"/>
      <c r="L320" s="91"/>
      <c r="M320" s="91"/>
      <c r="N320" s="91"/>
      <c r="O320" s="91"/>
      <c r="P320" s="91"/>
      <c r="Q320" s="91"/>
      <c r="R320" s="91"/>
      <c r="S320" s="91"/>
      <c r="T320" s="91"/>
      <c r="U320" s="91"/>
      <c r="V320" s="91"/>
    </row>
    <row r="321" spans="1:22" ht="12" hidden="1" customHeight="1">
      <c r="A321" s="91"/>
      <c r="B321" s="91"/>
      <c r="C321" s="91"/>
      <c r="D321" s="91"/>
      <c r="E321" s="91"/>
      <c r="F321" s="92"/>
      <c r="G321" s="92"/>
      <c r="H321" s="92"/>
      <c r="I321" s="92"/>
      <c r="J321" s="91"/>
      <c r="K321" s="91"/>
      <c r="L321" s="91"/>
      <c r="M321" s="91"/>
      <c r="N321" s="91"/>
      <c r="O321" s="91"/>
      <c r="P321" s="91"/>
      <c r="Q321" s="91"/>
      <c r="R321" s="91"/>
      <c r="S321" s="91"/>
      <c r="T321" s="91"/>
      <c r="U321" s="91"/>
      <c r="V321" s="91"/>
    </row>
    <row r="322" spans="1:22" ht="12" hidden="1" customHeight="1">
      <c r="A322" s="91"/>
      <c r="B322" s="91"/>
      <c r="C322" s="91"/>
      <c r="D322" s="91"/>
      <c r="E322" s="91"/>
      <c r="F322" s="92"/>
      <c r="G322" s="92"/>
      <c r="H322" s="92"/>
      <c r="I322" s="92"/>
      <c r="J322" s="91"/>
      <c r="K322" s="91"/>
      <c r="L322" s="91"/>
      <c r="M322" s="91"/>
      <c r="N322" s="91"/>
      <c r="O322" s="91"/>
      <c r="P322" s="91"/>
      <c r="Q322" s="91"/>
      <c r="R322" s="91"/>
      <c r="S322" s="91"/>
      <c r="T322" s="91"/>
      <c r="U322" s="91"/>
      <c r="V322" s="91"/>
    </row>
    <row r="323" spans="1:22" ht="12" hidden="1" customHeight="1">
      <c r="A323" s="91"/>
      <c r="B323" s="91"/>
      <c r="C323" s="91"/>
      <c r="D323" s="91"/>
      <c r="E323" s="91"/>
      <c r="F323" s="92"/>
      <c r="G323" s="92"/>
      <c r="H323" s="92"/>
      <c r="I323" s="92"/>
      <c r="J323" s="91"/>
      <c r="K323" s="91"/>
      <c r="L323" s="91"/>
      <c r="M323" s="91"/>
      <c r="N323" s="91"/>
      <c r="O323" s="91"/>
      <c r="P323" s="91"/>
      <c r="Q323" s="91"/>
      <c r="R323" s="91"/>
      <c r="S323" s="91"/>
      <c r="T323" s="91"/>
      <c r="U323" s="91"/>
      <c r="V323" s="91"/>
    </row>
    <row r="324" spans="1:22" ht="12" hidden="1" customHeight="1">
      <c r="A324" s="91"/>
      <c r="B324" s="91"/>
      <c r="C324" s="91"/>
      <c r="D324" s="91"/>
      <c r="E324" s="91"/>
      <c r="F324" s="92"/>
      <c r="G324" s="92"/>
      <c r="H324" s="92"/>
      <c r="I324" s="92"/>
      <c r="J324" s="91"/>
      <c r="K324" s="91"/>
      <c r="L324" s="91"/>
      <c r="M324" s="91"/>
      <c r="N324" s="91"/>
      <c r="O324" s="91"/>
      <c r="P324" s="91"/>
      <c r="Q324" s="91"/>
      <c r="R324" s="91"/>
      <c r="S324" s="91"/>
      <c r="T324" s="91"/>
      <c r="U324" s="91"/>
      <c r="V324" s="91"/>
    </row>
    <row r="325" spans="1:22" ht="12" hidden="1" customHeight="1">
      <c r="A325" s="91"/>
      <c r="B325" s="91"/>
      <c r="C325" s="91"/>
      <c r="D325" s="91"/>
      <c r="E325" s="91"/>
      <c r="F325" s="92"/>
      <c r="G325" s="92"/>
      <c r="H325" s="92"/>
      <c r="I325" s="92"/>
      <c r="J325" s="91"/>
      <c r="K325" s="91"/>
      <c r="L325" s="91"/>
      <c r="M325" s="91"/>
      <c r="N325" s="91"/>
      <c r="O325" s="91"/>
      <c r="P325" s="91"/>
      <c r="Q325" s="91"/>
      <c r="R325" s="91"/>
      <c r="S325" s="91"/>
      <c r="T325" s="91"/>
      <c r="U325" s="91"/>
      <c r="V325" s="91"/>
    </row>
    <row r="326" spans="1:22" ht="12" hidden="1" customHeight="1">
      <c r="A326" s="91"/>
      <c r="B326" s="91"/>
      <c r="C326" s="91"/>
      <c r="D326" s="91"/>
      <c r="E326" s="91"/>
      <c r="F326" s="92"/>
      <c r="G326" s="92"/>
      <c r="H326" s="92"/>
      <c r="I326" s="92"/>
      <c r="J326" s="91"/>
      <c r="K326" s="91"/>
      <c r="L326" s="91"/>
      <c r="M326" s="91"/>
      <c r="N326" s="91"/>
      <c r="O326" s="91"/>
      <c r="P326" s="91"/>
      <c r="Q326" s="91"/>
      <c r="R326" s="91"/>
      <c r="S326" s="91"/>
      <c r="T326" s="91"/>
      <c r="U326" s="91"/>
      <c r="V326" s="91"/>
    </row>
    <row r="327" spans="1:22" ht="12" hidden="1" customHeight="1">
      <c r="A327" s="91"/>
      <c r="B327" s="91"/>
      <c r="C327" s="91"/>
      <c r="D327" s="91"/>
      <c r="E327" s="91"/>
      <c r="F327" s="92"/>
      <c r="G327" s="92"/>
      <c r="H327" s="92"/>
      <c r="I327" s="92"/>
      <c r="J327" s="91"/>
      <c r="K327" s="91"/>
      <c r="L327" s="91"/>
      <c r="M327" s="91"/>
      <c r="N327" s="91"/>
      <c r="O327" s="91"/>
      <c r="P327" s="91"/>
      <c r="Q327" s="91"/>
      <c r="R327" s="91"/>
      <c r="S327" s="91"/>
      <c r="T327" s="91"/>
      <c r="U327" s="91"/>
      <c r="V327" s="91"/>
    </row>
    <row r="328" spans="1:22" ht="12" hidden="1" customHeight="1">
      <c r="A328" s="91"/>
      <c r="B328" s="91"/>
      <c r="C328" s="91"/>
      <c r="D328" s="91"/>
      <c r="E328" s="91"/>
      <c r="F328" s="92"/>
      <c r="G328" s="92"/>
      <c r="H328" s="92"/>
      <c r="I328" s="92"/>
      <c r="J328" s="91"/>
      <c r="K328" s="91"/>
      <c r="L328" s="91"/>
      <c r="M328" s="91"/>
      <c r="N328" s="91"/>
      <c r="O328" s="91"/>
      <c r="P328" s="91"/>
      <c r="Q328" s="91"/>
      <c r="R328" s="91"/>
      <c r="S328" s="91"/>
      <c r="T328" s="91"/>
      <c r="U328" s="91"/>
      <c r="V328" s="91"/>
    </row>
    <row r="329" spans="1:22" ht="12" hidden="1" customHeight="1">
      <c r="A329" s="91"/>
      <c r="B329" s="91"/>
      <c r="C329" s="91"/>
      <c r="D329" s="91"/>
      <c r="E329" s="91"/>
      <c r="F329" s="92"/>
      <c r="G329" s="92"/>
      <c r="H329" s="92"/>
      <c r="I329" s="92"/>
      <c r="J329" s="91"/>
      <c r="K329" s="91"/>
      <c r="L329" s="91"/>
      <c r="M329" s="91"/>
      <c r="N329" s="91"/>
      <c r="O329" s="91"/>
      <c r="P329" s="91"/>
      <c r="Q329" s="91"/>
      <c r="R329" s="91"/>
      <c r="S329" s="91"/>
      <c r="T329" s="91"/>
      <c r="U329" s="91"/>
      <c r="V329" s="91"/>
    </row>
    <row r="330" spans="1:22" ht="12" hidden="1" customHeight="1">
      <c r="A330" s="91"/>
      <c r="B330" s="91"/>
      <c r="C330" s="91"/>
      <c r="D330" s="91"/>
      <c r="E330" s="91"/>
      <c r="F330" s="92"/>
      <c r="G330" s="92"/>
      <c r="H330" s="92"/>
      <c r="I330" s="92"/>
      <c r="J330" s="91"/>
      <c r="K330" s="91"/>
      <c r="L330" s="91"/>
      <c r="M330" s="91"/>
      <c r="N330" s="91"/>
      <c r="O330" s="91"/>
      <c r="P330" s="91"/>
      <c r="Q330" s="91"/>
      <c r="R330" s="91"/>
      <c r="S330" s="91"/>
      <c r="T330" s="91"/>
      <c r="U330" s="91"/>
      <c r="V330" s="91"/>
    </row>
    <row r="331" spans="1:22" ht="12" hidden="1" customHeight="1">
      <c r="A331" s="91"/>
      <c r="B331" s="91"/>
      <c r="C331" s="91"/>
      <c r="D331" s="91"/>
      <c r="E331" s="91"/>
      <c r="F331" s="92"/>
      <c r="G331" s="92"/>
      <c r="H331" s="92"/>
      <c r="I331" s="92"/>
      <c r="J331" s="91"/>
      <c r="K331" s="91"/>
      <c r="L331" s="91"/>
      <c r="M331" s="91"/>
      <c r="N331" s="91"/>
      <c r="O331" s="91"/>
      <c r="P331" s="91"/>
      <c r="Q331" s="91"/>
      <c r="R331" s="91"/>
      <c r="S331" s="91"/>
      <c r="T331" s="91"/>
      <c r="U331" s="91"/>
      <c r="V331" s="91"/>
    </row>
    <row r="332" spans="1:22" ht="12" hidden="1" customHeight="1">
      <c r="A332" s="91"/>
      <c r="B332" s="91"/>
      <c r="C332" s="91"/>
      <c r="D332" s="91"/>
      <c r="E332" s="91"/>
      <c r="F332" s="92"/>
      <c r="G332" s="92"/>
      <c r="H332" s="92"/>
      <c r="I332" s="92"/>
      <c r="J332" s="91"/>
      <c r="K332" s="91"/>
      <c r="L332" s="91"/>
      <c r="M332" s="91"/>
      <c r="N332" s="91"/>
      <c r="O332" s="91"/>
      <c r="P332" s="91"/>
      <c r="Q332" s="91"/>
      <c r="R332" s="91"/>
      <c r="S332" s="91"/>
      <c r="T332" s="91"/>
      <c r="U332" s="91"/>
      <c r="V332" s="91"/>
    </row>
    <row r="333" spans="1:22" ht="12" hidden="1" customHeight="1">
      <c r="A333" s="91"/>
      <c r="B333" s="91"/>
      <c r="C333" s="91"/>
      <c r="D333" s="91"/>
      <c r="E333" s="91"/>
      <c r="F333" s="92"/>
      <c r="G333" s="92"/>
      <c r="H333" s="92"/>
      <c r="I333" s="92"/>
      <c r="J333" s="91"/>
      <c r="K333" s="91"/>
      <c r="L333" s="91"/>
      <c r="M333" s="91"/>
      <c r="N333" s="91"/>
      <c r="O333" s="91"/>
      <c r="P333" s="91"/>
      <c r="Q333" s="91"/>
      <c r="R333" s="91"/>
      <c r="S333" s="91"/>
      <c r="T333" s="91"/>
      <c r="U333" s="91"/>
      <c r="V333" s="91"/>
    </row>
    <row r="334" spans="1:22" ht="12" hidden="1" customHeight="1">
      <c r="A334" s="91"/>
      <c r="B334" s="91"/>
      <c r="C334" s="91"/>
      <c r="D334" s="91"/>
      <c r="E334" s="91"/>
      <c r="F334" s="92"/>
      <c r="G334" s="92"/>
      <c r="H334" s="92"/>
      <c r="I334" s="92"/>
      <c r="J334" s="91"/>
      <c r="K334" s="91"/>
      <c r="L334" s="91"/>
      <c r="M334" s="91"/>
      <c r="N334" s="91"/>
      <c r="O334" s="91"/>
      <c r="P334" s="91"/>
      <c r="Q334" s="91"/>
      <c r="R334" s="91"/>
      <c r="S334" s="91"/>
      <c r="T334" s="91"/>
      <c r="U334" s="91"/>
      <c r="V334" s="91"/>
    </row>
    <row r="335" spans="1:22" ht="12" hidden="1" customHeight="1">
      <c r="A335" s="91"/>
      <c r="B335" s="91"/>
      <c r="C335" s="91"/>
      <c r="D335" s="91"/>
      <c r="E335" s="91"/>
      <c r="F335" s="92"/>
      <c r="G335" s="92"/>
      <c r="H335" s="92"/>
      <c r="I335" s="92"/>
      <c r="J335" s="91"/>
      <c r="K335" s="91"/>
      <c r="L335" s="91"/>
      <c r="M335" s="91"/>
      <c r="N335" s="91"/>
      <c r="O335" s="91"/>
      <c r="P335" s="91"/>
      <c r="Q335" s="91"/>
      <c r="R335" s="91"/>
      <c r="S335" s="91"/>
      <c r="T335" s="91"/>
      <c r="U335" s="91"/>
      <c r="V335" s="91"/>
    </row>
    <row r="336" spans="1:22" ht="12" hidden="1" customHeight="1">
      <c r="A336" s="91"/>
      <c r="B336" s="91"/>
      <c r="C336" s="91"/>
      <c r="D336" s="91"/>
      <c r="E336" s="91"/>
      <c r="F336" s="92"/>
      <c r="G336" s="92"/>
      <c r="H336" s="92"/>
      <c r="I336" s="92"/>
      <c r="J336" s="91"/>
      <c r="K336" s="91"/>
      <c r="L336" s="91"/>
      <c r="M336" s="91"/>
      <c r="N336" s="91"/>
      <c r="O336" s="91"/>
      <c r="P336" s="91"/>
      <c r="Q336" s="91"/>
      <c r="R336" s="91"/>
      <c r="S336" s="91"/>
      <c r="T336" s="91"/>
      <c r="U336" s="91"/>
      <c r="V336" s="91"/>
    </row>
    <row r="337" spans="1:22" ht="12" hidden="1" customHeight="1">
      <c r="A337" s="91"/>
      <c r="B337" s="91"/>
      <c r="C337" s="91"/>
      <c r="D337" s="91"/>
      <c r="E337" s="91"/>
      <c r="F337" s="92"/>
      <c r="G337" s="92"/>
      <c r="H337" s="92"/>
      <c r="I337" s="92"/>
      <c r="J337" s="91"/>
      <c r="K337" s="91"/>
      <c r="L337" s="91"/>
      <c r="M337" s="91"/>
      <c r="N337" s="91"/>
      <c r="O337" s="91"/>
      <c r="P337" s="91"/>
      <c r="Q337" s="91"/>
      <c r="R337" s="91"/>
      <c r="S337" s="91"/>
      <c r="T337" s="91"/>
      <c r="U337" s="91"/>
      <c r="V337" s="91"/>
    </row>
    <row r="338" spans="1:22" ht="12" hidden="1" customHeight="1">
      <c r="A338" s="91"/>
      <c r="B338" s="91"/>
      <c r="C338" s="91"/>
      <c r="D338" s="91"/>
      <c r="E338" s="91"/>
      <c r="F338" s="92"/>
      <c r="G338" s="92"/>
      <c r="H338" s="92"/>
      <c r="I338" s="92"/>
      <c r="J338" s="91"/>
      <c r="K338" s="91"/>
      <c r="L338" s="91"/>
      <c r="M338" s="91"/>
      <c r="N338" s="91"/>
      <c r="O338" s="91"/>
      <c r="P338" s="91"/>
      <c r="Q338" s="91"/>
      <c r="R338" s="91"/>
      <c r="S338" s="91"/>
      <c r="T338" s="91"/>
      <c r="U338" s="91"/>
      <c r="V338" s="91"/>
    </row>
    <row r="339" spans="1:22" ht="12" hidden="1" customHeight="1">
      <c r="A339" s="91"/>
      <c r="B339" s="91"/>
      <c r="C339" s="91"/>
      <c r="D339" s="91"/>
      <c r="E339" s="91"/>
      <c r="F339" s="92"/>
      <c r="G339" s="92"/>
      <c r="H339" s="92"/>
      <c r="I339" s="92"/>
      <c r="J339" s="91"/>
      <c r="K339" s="91"/>
      <c r="L339" s="91"/>
      <c r="M339" s="91"/>
      <c r="N339" s="91"/>
      <c r="O339" s="91"/>
      <c r="P339" s="91"/>
      <c r="Q339" s="91"/>
      <c r="R339" s="91"/>
      <c r="S339" s="91"/>
      <c r="T339" s="91"/>
      <c r="U339" s="91"/>
      <c r="V339" s="91"/>
    </row>
    <row r="340" spans="1:22" ht="12" hidden="1" customHeight="1">
      <c r="A340" s="91"/>
      <c r="B340" s="91"/>
      <c r="C340" s="91"/>
      <c r="D340" s="91"/>
      <c r="E340" s="91"/>
      <c r="F340" s="92"/>
      <c r="G340" s="92"/>
      <c r="H340" s="92"/>
      <c r="I340" s="92"/>
      <c r="J340" s="91"/>
      <c r="K340" s="91"/>
      <c r="L340" s="91"/>
      <c r="M340" s="91"/>
      <c r="N340" s="91"/>
      <c r="O340" s="91"/>
      <c r="P340" s="91"/>
      <c r="Q340" s="91"/>
      <c r="R340" s="91"/>
      <c r="S340" s="91"/>
      <c r="T340" s="91"/>
      <c r="U340" s="91"/>
      <c r="V340" s="91"/>
    </row>
    <row r="341" spans="1:22" ht="12" hidden="1" customHeight="1">
      <c r="A341" s="91"/>
      <c r="B341" s="91"/>
      <c r="C341" s="91"/>
      <c r="D341" s="91"/>
      <c r="E341" s="91"/>
      <c r="F341" s="92"/>
      <c r="G341" s="92"/>
      <c r="H341" s="92"/>
      <c r="I341" s="92"/>
      <c r="J341" s="91"/>
      <c r="K341" s="91"/>
      <c r="L341" s="91"/>
      <c r="M341" s="91"/>
      <c r="N341" s="91"/>
      <c r="O341" s="91"/>
      <c r="P341" s="91"/>
      <c r="Q341" s="91"/>
      <c r="R341" s="91"/>
      <c r="S341" s="91"/>
      <c r="T341" s="91"/>
      <c r="U341" s="91"/>
      <c r="V341" s="91"/>
    </row>
    <row r="342" spans="1:22" ht="12" hidden="1" customHeight="1">
      <c r="A342" s="91"/>
      <c r="B342" s="91"/>
      <c r="C342" s="91"/>
      <c r="D342" s="91"/>
      <c r="E342" s="91"/>
      <c r="F342" s="92"/>
      <c r="G342" s="92"/>
      <c r="H342" s="92"/>
      <c r="I342" s="92"/>
      <c r="J342" s="91"/>
      <c r="K342" s="91"/>
      <c r="L342" s="91"/>
      <c r="M342" s="91"/>
      <c r="N342" s="91"/>
      <c r="O342" s="91"/>
      <c r="P342" s="91"/>
      <c r="Q342" s="91"/>
      <c r="R342" s="91"/>
      <c r="S342" s="91"/>
      <c r="T342" s="91"/>
      <c r="U342" s="91"/>
      <c r="V342" s="91"/>
    </row>
    <row r="343" spans="1:22" ht="12" hidden="1" customHeight="1">
      <c r="A343" s="91"/>
      <c r="B343" s="91"/>
      <c r="C343" s="91"/>
      <c r="D343" s="91"/>
      <c r="E343" s="91"/>
      <c r="F343" s="92"/>
      <c r="G343" s="92"/>
      <c r="H343" s="92"/>
      <c r="I343" s="92"/>
      <c r="J343" s="91"/>
      <c r="K343" s="91"/>
      <c r="L343" s="91"/>
      <c r="M343" s="91"/>
      <c r="N343" s="91"/>
      <c r="O343" s="91"/>
      <c r="P343" s="91"/>
      <c r="Q343" s="91"/>
      <c r="R343" s="91"/>
      <c r="S343" s="91"/>
      <c r="T343" s="91"/>
      <c r="U343" s="91"/>
      <c r="V343" s="91"/>
    </row>
    <row r="344" spans="1:22" ht="12" hidden="1" customHeight="1">
      <c r="A344" s="91"/>
      <c r="B344" s="91"/>
      <c r="C344" s="91"/>
      <c r="D344" s="91"/>
      <c r="E344" s="91"/>
      <c r="F344" s="92"/>
      <c r="G344" s="92"/>
      <c r="H344" s="92"/>
      <c r="I344" s="92"/>
      <c r="J344" s="91"/>
      <c r="K344" s="91"/>
      <c r="L344" s="91"/>
      <c r="M344" s="91"/>
      <c r="N344" s="91"/>
      <c r="O344" s="91"/>
      <c r="P344" s="91"/>
      <c r="Q344" s="91"/>
      <c r="R344" s="91"/>
      <c r="S344" s="91"/>
      <c r="T344" s="91"/>
      <c r="U344" s="91"/>
      <c r="V344" s="91"/>
    </row>
    <row r="345" spans="1:22" ht="12" hidden="1" customHeight="1">
      <c r="A345" s="91"/>
      <c r="B345" s="91"/>
      <c r="C345" s="91"/>
      <c r="D345" s="91"/>
      <c r="E345" s="91"/>
      <c r="F345" s="92"/>
      <c r="G345" s="92"/>
      <c r="H345" s="92"/>
      <c r="I345" s="92"/>
      <c r="J345" s="91"/>
      <c r="K345" s="91"/>
      <c r="L345" s="91"/>
      <c r="M345" s="91"/>
      <c r="N345" s="91"/>
      <c r="O345" s="91"/>
      <c r="P345" s="91"/>
      <c r="Q345" s="91"/>
      <c r="R345" s="91"/>
      <c r="S345" s="91"/>
      <c r="T345" s="91"/>
      <c r="U345" s="91"/>
      <c r="V345" s="91"/>
    </row>
    <row r="346" spans="1:22" ht="12" hidden="1" customHeight="1">
      <c r="A346" s="91"/>
      <c r="B346" s="91"/>
      <c r="C346" s="91"/>
      <c r="D346" s="91"/>
      <c r="E346" s="91"/>
      <c r="F346" s="92"/>
      <c r="G346" s="92"/>
      <c r="H346" s="92"/>
      <c r="I346" s="92"/>
      <c r="J346" s="91"/>
      <c r="K346" s="91"/>
      <c r="L346" s="91"/>
      <c r="M346" s="91"/>
      <c r="N346" s="91"/>
      <c r="O346" s="91"/>
      <c r="P346" s="91"/>
      <c r="Q346" s="91"/>
      <c r="R346" s="91"/>
      <c r="S346" s="91"/>
      <c r="T346" s="91"/>
      <c r="U346" s="91"/>
      <c r="V346" s="91"/>
    </row>
    <row r="347" spans="1:22" ht="12" hidden="1" customHeight="1">
      <c r="A347" s="91"/>
      <c r="B347" s="91"/>
      <c r="C347" s="91"/>
      <c r="D347" s="91"/>
      <c r="E347" s="91"/>
      <c r="F347" s="92"/>
      <c r="G347" s="92"/>
      <c r="H347" s="92"/>
      <c r="I347" s="92"/>
      <c r="J347" s="91"/>
      <c r="K347" s="91"/>
      <c r="L347" s="91"/>
      <c r="M347" s="91"/>
      <c r="N347" s="91"/>
      <c r="O347" s="91"/>
      <c r="P347" s="91"/>
      <c r="Q347" s="91"/>
      <c r="R347" s="91"/>
      <c r="S347" s="91"/>
      <c r="T347" s="91"/>
      <c r="U347" s="91"/>
      <c r="V347" s="91"/>
    </row>
    <row r="348" spans="1:22" ht="12" hidden="1" customHeight="1">
      <c r="A348" s="91"/>
      <c r="B348" s="91"/>
      <c r="C348" s="91"/>
      <c r="D348" s="91"/>
      <c r="E348" s="91"/>
      <c r="F348" s="92"/>
      <c r="G348" s="92"/>
      <c r="H348" s="92"/>
      <c r="I348" s="92"/>
      <c r="J348" s="91"/>
      <c r="K348" s="91"/>
      <c r="L348" s="91"/>
      <c r="M348" s="91"/>
      <c r="N348" s="91"/>
      <c r="O348" s="91"/>
      <c r="P348" s="91"/>
      <c r="Q348" s="91"/>
      <c r="R348" s="91"/>
      <c r="S348" s="91"/>
      <c r="T348" s="91"/>
      <c r="U348" s="91"/>
      <c r="V348" s="91"/>
    </row>
    <row r="349" spans="1:22" ht="12" hidden="1" customHeight="1">
      <c r="A349" s="91"/>
      <c r="B349" s="91"/>
      <c r="C349" s="91"/>
      <c r="D349" s="91"/>
      <c r="E349" s="91"/>
      <c r="F349" s="92"/>
      <c r="G349" s="92"/>
      <c r="H349" s="92"/>
      <c r="I349" s="92"/>
      <c r="J349" s="91"/>
      <c r="K349" s="91"/>
      <c r="L349" s="91"/>
      <c r="M349" s="91"/>
      <c r="N349" s="91"/>
      <c r="O349" s="91"/>
      <c r="P349" s="91"/>
      <c r="Q349" s="91"/>
      <c r="R349" s="91"/>
      <c r="S349" s="91"/>
      <c r="T349" s="91"/>
      <c r="U349" s="91"/>
      <c r="V349" s="91"/>
    </row>
    <row r="350" spans="1:22" ht="12" hidden="1" customHeight="1">
      <c r="A350" s="91"/>
      <c r="B350" s="91"/>
      <c r="C350" s="91"/>
      <c r="D350" s="91"/>
      <c r="E350" s="91"/>
      <c r="F350" s="92"/>
      <c r="G350" s="92"/>
      <c r="H350" s="92"/>
      <c r="I350" s="92"/>
      <c r="J350" s="91"/>
      <c r="K350" s="91"/>
      <c r="L350" s="91"/>
      <c r="M350" s="91"/>
      <c r="N350" s="91"/>
      <c r="O350" s="91"/>
      <c r="P350" s="91"/>
      <c r="Q350" s="91"/>
      <c r="R350" s="91"/>
      <c r="S350" s="91"/>
      <c r="T350" s="91"/>
      <c r="U350" s="91"/>
      <c r="V350" s="91"/>
    </row>
    <row r="351" spans="1:22" ht="12" hidden="1" customHeight="1">
      <c r="A351" s="91"/>
      <c r="B351" s="91"/>
      <c r="C351" s="91"/>
      <c r="D351" s="91"/>
      <c r="E351" s="91"/>
      <c r="F351" s="92"/>
      <c r="G351" s="92"/>
      <c r="H351" s="92"/>
      <c r="I351" s="92"/>
      <c r="J351" s="91"/>
      <c r="K351" s="91"/>
      <c r="L351" s="91"/>
      <c r="M351" s="91"/>
      <c r="N351" s="91"/>
      <c r="O351" s="91"/>
      <c r="P351" s="91"/>
      <c r="Q351" s="91"/>
      <c r="R351" s="91"/>
      <c r="S351" s="91"/>
      <c r="T351" s="91"/>
      <c r="U351" s="91"/>
      <c r="V351" s="91"/>
    </row>
    <row r="352" spans="1:22" ht="12" hidden="1" customHeight="1">
      <c r="A352" s="91"/>
      <c r="B352" s="91"/>
      <c r="C352" s="91"/>
      <c r="D352" s="91"/>
      <c r="E352" s="91"/>
      <c r="F352" s="92"/>
      <c r="G352" s="92"/>
      <c r="H352" s="92"/>
      <c r="I352" s="92"/>
      <c r="J352" s="91"/>
      <c r="K352" s="91"/>
      <c r="L352" s="91"/>
      <c r="M352" s="91"/>
      <c r="N352" s="91"/>
      <c r="O352" s="91"/>
      <c r="P352" s="91"/>
      <c r="Q352" s="91"/>
      <c r="R352" s="91"/>
      <c r="S352" s="91"/>
      <c r="T352" s="91"/>
      <c r="U352" s="91"/>
      <c r="V352" s="91"/>
    </row>
    <row r="353" spans="1:22" ht="12" hidden="1" customHeight="1">
      <c r="A353" s="91"/>
      <c r="B353" s="91"/>
      <c r="C353" s="91"/>
      <c r="D353" s="91"/>
      <c r="E353" s="91"/>
      <c r="F353" s="92"/>
      <c r="G353" s="92"/>
      <c r="H353" s="92"/>
      <c r="I353" s="92"/>
      <c r="J353" s="91"/>
      <c r="K353" s="91"/>
      <c r="L353" s="91"/>
      <c r="M353" s="91"/>
      <c r="N353" s="91"/>
      <c r="O353" s="91"/>
      <c r="P353" s="91"/>
      <c r="Q353" s="91"/>
      <c r="R353" s="91"/>
      <c r="S353" s="91"/>
      <c r="T353" s="91"/>
      <c r="U353" s="91"/>
      <c r="V353" s="91"/>
    </row>
    <row r="354" spans="1:22" ht="12" hidden="1" customHeight="1">
      <c r="A354" s="91"/>
      <c r="B354" s="91"/>
      <c r="C354" s="91"/>
      <c r="D354" s="91"/>
      <c r="E354" s="91"/>
      <c r="F354" s="92"/>
      <c r="G354" s="92"/>
      <c r="H354" s="92"/>
      <c r="I354" s="92"/>
      <c r="J354" s="91"/>
      <c r="K354" s="91"/>
      <c r="L354" s="91"/>
      <c r="M354" s="91"/>
      <c r="N354" s="91"/>
      <c r="O354" s="91"/>
      <c r="P354" s="91"/>
      <c r="Q354" s="91"/>
      <c r="R354" s="91"/>
      <c r="S354" s="91"/>
      <c r="T354" s="91"/>
      <c r="U354" s="91"/>
      <c r="V354" s="91"/>
    </row>
    <row r="355" spans="1:22" ht="12" hidden="1" customHeight="1">
      <c r="A355" s="91"/>
      <c r="B355" s="91"/>
      <c r="C355" s="91"/>
      <c r="D355" s="91"/>
      <c r="E355" s="91"/>
      <c r="F355" s="92"/>
      <c r="G355" s="92"/>
      <c r="H355" s="92"/>
      <c r="I355" s="92"/>
      <c r="J355" s="91"/>
      <c r="K355" s="91"/>
      <c r="L355" s="91"/>
      <c r="M355" s="91"/>
      <c r="N355" s="91"/>
      <c r="O355" s="91"/>
      <c r="P355" s="91"/>
      <c r="Q355" s="91"/>
      <c r="R355" s="91"/>
      <c r="S355" s="91"/>
      <c r="T355" s="91"/>
      <c r="U355" s="91"/>
      <c r="V355" s="91"/>
    </row>
    <row r="356" spans="1:22" ht="12" hidden="1" customHeight="1">
      <c r="A356" s="91"/>
      <c r="B356" s="91"/>
      <c r="C356" s="91"/>
      <c r="D356" s="91"/>
      <c r="E356" s="91"/>
      <c r="F356" s="92"/>
      <c r="G356" s="92"/>
      <c r="H356" s="92"/>
      <c r="I356" s="92"/>
      <c r="J356" s="91"/>
      <c r="K356" s="91"/>
      <c r="L356" s="91"/>
      <c r="M356" s="91"/>
      <c r="N356" s="91"/>
      <c r="O356" s="91"/>
      <c r="P356" s="91"/>
      <c r="Q356" s="91"/>
      <c r="R356" s="91"/>
      <c r="S356" s="91"/>
      <c r="T356" s="91"/>
      <c r="U356" s="91"/>
      <c r="V356" s="91"/>
    </row>
    <row r="357" spans="1:22" ht="12" hidden="1" customHeight="1">
      <c r="A357" s="91"/>
      <c r="B357" s="91"/>
      <c r="C357" s="91"/>
      <c r="D357" s="91"/>
      <c r="E357" s="91"/>
      <c r="F357" s="92"/>
      <c r="G357" s="92"/>
      <c r="H357" s="92"/>
      <c r="I357" s="92"/>
      <c r="J357" s="91"/>
      <c r="K357" s="91"/>
      <c r="L357" s="91"/>
      <c r="M357" s="91"/>
      <c r="N357" s="91"/>
      <c r="O357" s="91"/>
      <c r="P357" s="91"/>
      <c r="Q357" s="91"/>
      <c r="R357" s="91"/>
      <c r="S357" s="91"/>
      <c r="T357" s="91"/>
      <c r="U357" s="91"/>
      <c r="V357" s="91"/>
    </row>
    <row r="358" spans="1:22" ht="12" hidden="1" customHeight="1">
      <c r="A358" s="91"/>
      <c r="B358" s="91"/>
      <c r="C358" s="91"/>
      <c r="D358" s="91"/>
      <c r="E358" s="91"/>
      <c r="F358" s="92"/>
      <c r="G358" s="92"/>
      <c r="H358" s="92"/>
      <c r="I358" s="92"/>
      <c r="J358" s="91"/>
      <c r="K358" s="91"/>
      <c r="L358" s="91"/>
      <c r="M358" s="91"/>
      <c r="N358" s="91"/>
      <c r="O358" s="91"/>
      <c r="P358" s="91"/>
      <c r="Q358" s="91"/>
      <c r="R358" s="91"/>
      <c r="S358" s="91"/>
      <c r="T358" s="91"/>
      <c r="U358" s="91"/>
      <c r="V358" s="91"/>
    </row>
    <row r="359" spans="1:22" ht="12" hidden="1" customHeight="1">
      <c r="A359" s="91"/>
      <c r="B359" s="91"/>
      <c r="C359" s="91"/>
      <c r="D359" s="91"/>
      <c r="E359" s="91"/>
      <c r="F359" s="92"/>
      <c r="G359" s="92"/>
      <c r="H359" s="92"/>
      <c r="I359" s="92"/>
      <c r="J359" s="91"/>
      <c r="K359" s="91"/>
      <c r="L359" s="91"/>
      <c r="M359" s="91"/>
      <c r="N359" s="91"/>
      <c r="O359" s="91"/>
      <c r="P359" s="91"/>
      <c r="Q359" s="91"/>
      <c r="R359" s="91"/>
      <c r="S359" s="91"/>
      <c r="T359" s="91"/>
      <c r="U359" s="91"/>
      <c r="V359" s="91"/>
    </row>
    <row r="360" spans="1:22" ht="12" hidden="1" customHeight="1">
      <c r="A360" s="91"/>
      <c r="B360" s="91"/>
      <c r="C360" s="91"/>
      <c r="D360" s="91"/>
      <c r="E360" s="91"/>
      <c r="F360" s="92"/>
      <c r="G360" s="92"/>
      <c r="H360" s="92"/>
      <c r="I360" s="92"/>
      <c r="J360" s="91"/>
      <c r="K360" s="91"/>
      <c r="L360" s="91"/>
      <c r="M360" s="91"/>
      <c r="N360" s="91"/>
      <c r="O360" s="91"/>
      <c r="P360" s="91"/>
      <c r="Q360" s="91"/>
      <c r="R360" s="91"/>
      <c r="S360" s="91"/>
      <c r="T360" s="91"/>
      <c r="U360" s="91"/>
      <c r="V360" s="91"/>
    </row>
    <row r="361" spans="1:22" ht="12" hidden="1" customHeight="1">
      <c r="A361" s="91"/>
      <c r="B361" s="91"/>
      <c r="C361" s="91"/>
      <c r="D361" s="91"/>
      <c r="E361" s="91"/>
      <c r="F361" s="92"/>
      <c r="G361" s="92"/>
      <c r="H361" s="92"/>
      <c r="I361" s="92"/>
      <c r="J361" s="91"/>
      <c r="K361" s="91"/>
      <c r="L361" s="91"/>
      <c r="M361" s="91"/>
      <c r="N361" s="91"/>
      <c r="O361" s="91"/>
      <c r="P361" s="91"/>
      <c r="Q361" s="91"/>
      <c r="R361" s="91"/>
      <c r="S361" s="91"/>
      <c r="T361" s="91"/>
      <c r="U361" s="91"/>
      <c r="V361" s="91"/>
    </row>
    <row r="362" spans="1:22" ht="12" hidden="1" customHeight="1">
      <c r="A362" s="91"/>
      <c r="B362" s="91"/>
      <c r="C362" s="91"/>
      <c r="D362" s="91"/>
      <c r="E362" s="91"/>
      <c r="F362" s="92"/>
      <c r="G362" s="92"/>
      <c r="H362" s="92"/>
      <c r="I362" s="92"/>
      <c r="J362" s="91"/>
      <c r="K362" s="91"/>
      <c r="L362" s="91"/>
      <c r="M362" s="91"/>
      <c r="N362" s="91"/>
      <c r="O362" s="91"/>
      <c r="P362" s="91"/>
      <c r="Q362" s="91"/>
      <c r="R362" s="91"/>
      <c r="S362" s="91"/>
      <c r="T362" s="91"/>
      <c r="U362" s="91"/>
      <c r="V362" s="91"/>
    </row>
    <row r="363" spans="1:22" ht="12" hidden="1" customHeight="1">
      <c r="A363" s="91"/>
      <c r="B363" s="91"/>
      <c r="C363" s="91"/>
      <c r="D363" s="91"/>
      <c r="E363" s="91"/>
      <c r="F363" s="92"/>
      <c r="G363" s="92"/>
      <c r="H363" s="92"/>
      <c r="I363" s="92"/>
      <c r="J363" s="91"/>
      <c r="K363" s="91"/>
      <c r="L363" s="91"/>
      <c r="M363" s="91"/>
      <c r="N363" s="91"/>
      <c r="O363" s="91"/>
      <c r="P363" s="91"/>
      <c r="Q363" s="91"/>
      <c r="R363" s="91"/>
      <c r="S363" s="91"/>
      <c r="T363" s="91"/>
      <c r="U363" s="91"/>
      <c r="V363" s="91"/>
    </row>
    <row r="364" spans="1:22" ht="12" hidden="1" customHeight="1">
      <c r="A364" s="91"/>
      <c r="B364" s="91"/>
      <c r="C364" s="91"/>
      <c r="D364" s="91"/>
      <c r="E364" s="91"/>
      <c r="F364" s="92"/>
      <c r="G364" s="92"/>
      <c r="H364" s="92"/>
      <c r="I364" s="92"/>
      <c r="J364" s="91"/>
      <c r="K364" s="91"/>
      <c r="L364" s="91"/>
      <c r="M364" s="91"/>
      <c r="N364" s="91"/>
      <c r="O364" s="91"/>
      <c r="P364" s="91"/>
      <c r="Q364" s="91"/>
      <c r="R364" s="91"/>
      <c r="S364" s="91"/>
      <c r="T364" s="91"/>
      <c r="U364" s="91"/>
      <c r="V364" s="91"/>
    </row>
    <row r="365" spans="1:22" ht="12" hidden="1" customHeight="1">
      <c r="A365" s="91"/>
      <c r="B365" s="91"/>
      <c r="C365" s="91"/>
      <c r="D365" s="91"/>
      <c r="E365" s="91"/>
      <c r="F365" s="92"/>
      <c r="G365" s="92"/>
      <c r="H365" s="92"/>
      <c r="I365" s="92"/>
      <c r="J365" s="91"/>
      <c r="K365" s="91"/>
      <c r="L365" s="91"/>
      <c r="M365" s="91"/>
      <c r="N365" s="91"/>
      <c r="O365" s="91"/>
      <c r="P365" s="91"/>
      <c r="Q365" s="91"/>
      <c r="R365" s="91"/>
      <c r="S365" s="91"/>
      <c r="T365" s="91"/>
      <c r="U365" s="91"/>
      <c r="V365" s="91"/>
    </row>
    <row r="366" spans="1:22" ht="12" hidden="1" customHeight="1">
      <c r="A366" s="91"/>
      <c r="B366" s="91"/>
      <c r="C366" s="91"/>
      <c r="D366" s="91"/>
      <c r="E366" s="91"/>
      <c r="F366" s="92"/>
      <c r="G366" s="92"/>
      <c r="H366" s="92"/>
      <c r="I366" s="92"/>
      <c r="J366" s="91"/>
      <c r="K366" s="91"/>
      <c r="L366" s="91"/>
      <c r="M366" s="91"/>
      <c r="N366" s="91"/>
      <c r="O366" s="91"/>
      <c r="P366" s="91"/>
      <c r="Q366" s="91"/>
      <c r="R366" s="91"/>
      <c r="S366" s="91"/>
      <c r="T366" s="91"/>
      <c r="U366" s="91"/>
      <c r="V366" s="91"/>
    </row>
    <row r="367" spans="1:22" ht="12" hidden="1" customHeight="1">
      <c r="A367" s="91"/>
      <c r="B367" s="91"/>
      <c r="C367" s="91"/>
      <c r="D367" s="91"/>
      <c r="E367" s="91"/>
      <c r="F367" s="92"/>
      <c r="G367" s="92"/>
      <c r="H367" s="92"/>
      <c r="I367" s="92"/>
      <c r="J367" s="91"/>
      <c r="K367" s="91"/>
      <c r="L367" s="91"/>
      <c r="M367" s="91"/>
      <c r="N367" s="91"/>
      <c r="O367" s="91"/>
      <c r="P367" s="91"/>
      <c r="Q367" s="91"/>
      <c r="R367" s="91"/>
      <c r="S367" s="91"/>
      <c r="T367" s="91"/>
      <c r="U367" s="91"/>
      <c r="V367" s="91"/>
    </row>
    <row r="368" spans="1:22" ht="12" hidden="1" customHeight="1">
      <c r="A368" s="91"/>
      <c r="B368" s="91"/>
      <c r="C368" s="91"/>
      <c r="D368" s="91"/>
      <c r="E368" s="91"/>
      <c r="F368" s="92"/>
      <c r="G368" s="92"/>
      <c r="H368" s="92"/>
      <c r="I368" s="92"/>
      <c r="J368" s="91"/>
      <c r="K368" s="91"/>
      <c r="L368" s="91"/>
      <c r="M368" s="91"/>
      <c r="N368" s="91"/>
      <c r="O368" s="91"/>
      <c r="P368" s="91"/>
      <c r="Q368" s="91"/>
      <c r="R368" s="91"/>
      <c r="S368" s="91"/>
      <c r="T368" s="91"/>
      <c r="U368" s="91"/>
      <c r="V368" s="91"/>
    </row>
    <row r="369" spans="1:22" ht="12" hidden="1" customHeight="1">
      <c r="A369" s="91"/>
      <c r="B369" s="91"/>
      <c r="C369" s="91"/>
      <c r="D369" s="91"/>
      <c r="E369" s="91"/>
      <c r="F369" s="92"/>
      <c r="G369" s="92"/>
      <c r="H369" s="92"/>
      <c r="I369" s="92"/>
      <c r="J369" s="91"/>
      <c r="K369" s="91"/>
      <c r="L369" s="91"/>
      <c r="M369" s="91"/>
      <c r="N369" s="91"/>
      <c r="O369" s="91"/>
      <c r="P369" s="91"/>
      <c r="Q369" s="91"/>
      <c r="R369" s="91"/>
      <c r="S369" s="91"/>
      <c r="T369" s="91"/>
      <c r="U369" s="91"/>
      <c r="V369" s="91"/>
    </row>
    <row r="370" spans="1:22" ht="12" hidden="1" customHeight="1">
      <c r="A370" s="91"/>
      <c r="B370" s="91"/>
      <c r="C370" s="91"/>
      <c r="D370" s="91"/>
      <c r="E370" s="91"/>
      <c r="F370" s="92"/>
      <c r="G370" s="92"/>
      <c r="H370" s="92"/>
      <c r="I370" s="92"/>
      <c r="J370" s="91"/>
      <c r="K370" s="91"/>
      <c r="L370" s="91"/>
      <c r="M370" s="91"/>
      <c r="N370" s="91"/>
      <c r="O370" s="91"/>
      <c r="P370" s="91"/>
      <c r="Q370" s="91"/>
      <c r="R370" s="91"/>
      <c r="S370" s="91"/>
      <c r="T370" s="91"/>
      <c r="U370" s="91"/>
      <c r="V370" s="91"/>
    </row>
    <row r="371" spans="1:22" ht="12" hidden="1" customHeight="1">
      <c r="A371" s="91"/>
      <c r="B371" s="91"/>
      <c r="C371" s="91"/>
      <c r="D371" s="91"/>
      <c r="E371" s="91"/>
      <c r="F371" s="92"/>
      <c r="G371" s="92"/>
      <c r="H371" s="92"/>
      <c r="I371" s="92"/>
      <c r="J371" s="91"/>
      <c r="K371" s="91"/>
      <c r="L371" s="91"/>
      <c r="M371" s="91"/>
      <c r="N371" s="91"/>
      <c r="O371" s="91"/>
      <c r="P371" s="91"/>
      <c r="Q371" s="91"/>
      <c r="R371" s="91"/>
      <c r="S371" s="91"/>
      <c r="T371" s="91"/>
      <c r="U371" s="91"/>
      <c r="V371" s="91"/>
    </row>
    <row r="372" spans="1:22" ht="12" hidden="1" customHeight="1">
      <c r="A372" s="91"/>
      <c r="B372" s="91"/>
      <c r="C372" s="91"/>
      <c r="D372" s="91"/>
      <c r="E372" s="91"/>
      <c r="F372" s="92"/>
      <c r="G372" s="92"/>
      <c r="H372" s="92"/>
      <c r="I372" s="92"/>
      <c r="J372" s="91"/>
      <c r="K372" s="91"/>
      <c r="L372" s="91"/>
      <c r="M372" s="91"/>
      <c r="N372" s="91"/>
      <c r="O372" s="91"/>
      <c r="P372" s="91"/>
      <c r="Q372" s="91"/>
      <c r="R372" s="91"/>
      <c r="S372" s="91"/>
      <c r="T372" s="91"/>
      <c r="U372" s="91"/>
      <c r="V372" s="91"/>
    </row>
    <row r="373" spans="1:22" ht="12" hidden="1" customHeight="1">
      <c r="A373" s="91"/>
      <c r="B373" s="91"/>
      <c r="C373" s="91"/>
      <c r="D373" s="91"/>
      <c r="E373" s="91"/>
      <c r="F373" s="92"/>
      <c r="G373" s="92"/>
      <c r="H373" s="92"/>
      <c r="I373" s="92"/>
      <c r="J373" s="91"/>
      <c r="K373" s="91"/>
      <c r="L373" s="91"/>
      <c r="M373" s="91"/>
      <c r="N373" s="91"/>
      <c r="O373" s="91"/>
      <c r="P373" s="91"/>
      <c r="Q373" s="91"/>
      <c r="R373" s="91"/>
      <c r="S373" s="91"/>
      <c r="T373" s="91"/>
      <c r="U373" s="91"/>
      <c r="V373" s="91"/>
    </row>
    <row r="374" spans="1:22" ht="12" hidden="1" customHeight="1">
      <c r="A374" s="91"/>
      <c r="B374" s="91"/>
      <c r="C374" s="91"/>
      <c r="D374" s="91"/>
      <c r="E374" s="91"/>
      <c r="F374" s="92"/>
      <c r="G374" s="92"/>
      <c r="H374" s="92"/>
      <c r="I374" s="92"/>
      <c r="J374" s="91"/>
      <c r="K374" s="91"/>
      <c r="L374" s="91"/>
      <c r="M374" s="91"/>
      <c r="N374" s="91"/>
      <c r="O374" s="91"/>
      <c r="P374" s="91"/>
      <c r="Q374" s="91"/>
      <c r="R374" s="91"/>
      <c r="S374" s="91"/>
      <c r="T374" s="91"/>
      <c r="U374" s="91"/>
      <c r="V374" s="91"/>
    </row>
    <row r="375" spans="1:22" ht="12" hidden="1" customHeight="1">
      <c r="A375" s="91"/>
      <c r="B375" s="91"/>
      <c r="C375" s="91"/>
      <c r="D375" s="91"/>
      <c r="E375" s="91"/>
      <c r="F375" s="92"/>
      <c r="G375" s="92"/>
      <c r="H375" s="92"/>
      <c r="I375" s="92"/>
      <c r="J375" s="91"/>
      <c r="K375" s="91"/>
      <c r="L375" s="91"/>
      <c r="M375" s="91"/>
      <c r="N375" s="91"/>
      <c r="O375" s="91"/>
      <c r="P375" s="91"/>
      <c r="Q375" s="91"/>
      <c r="R375" s="91"/>
      <c r="S375" s="91"/>
      <c r="T375" s="91"/>
      <c r="U375" s="91"/>
      <c r="V375" s="91"/>
    </row>
    <row r="376" spans="1:22" ht="12" hidden="1" customHeight="1">
      <c r="A376" s="91"/>
      <c r="B376" s="91"/>
      <c r="C376" s="91"/>
      <c r="D376" s="91"/>
      <c r="E376" s="91"/>
      <c r="F376" s="92"/>
      <c r="G376" s="92"/>
      <c r="H376" s="92"/>
      <c r="I376" s="92"/>
      <c r="J376" s="91"/>
      <c r="K376" s="91"/>
      <c r="L376" s="91"/>
      <c r="M376" s="91"/>
      <c r="N376" s="91"/>
      <c r="O376" s="91"/>
      <c r="P376" s="91"/>
      <c r="Q376" s="91"/>
      <c r="R376" s="91"/>
      <c r="S376" s="91"/>
      <c r="T376" s="91"/>
      <c r="U376" s="91"/>
      <c r="V376" s="91"/>
    </row>
    <row r="377" spans="1:22" ht="12" hidden="1" customHeight="1">
      <c r="A377" s="91"/>
      <c r="B377" s="91"/>
      <c r="C377" s="91"/>
      <c r="D377" s="91"/>
      <c r="E377" s="91"/>
      <c r="F377" s="92"/>
      <c r="G377" s="92"/>
      <c r="H377" s="92"/>
      <c r="I377" s="92"/>
      <c r="J377" s="91"/>
      <c r="K377" s="91"/>
      <c r="L377" s="91"/>
      <c r="M377" s="91"/>
      <c r="N377" s="91"/>
      <c r="O377" s="91"/>
      <c r="P377" s="91"/>
      <c r="Q377" s="91"/>
      <c r="R377" s="91"/>
      <c r="S377" s="91"/>
      <c r="T377" s="91"/>
      <c r="U377" s="91"/>
      <c r="V377" s="91"/>
    </row>
    <row r="378" spans="1:22" ht="12" hidden="1" customHeight="1">
      <c r="A378" s="91"/>
      <c r="B378" s="91"/>
      <c r="C378" s="91"/>
      <c r="D378" s="91"/>
      <c r="E378" s="91"/>
      <c r="F378" s="92"/>
      <c r="G378" s="92"/>
      <c r="H378" s="92"/>
      <c r="I378" s="92"/>
      <c r="J378" s="91"/>
      <c r="K378" s="91"/>
      <c r="L378" s="91"/>
      <c r="M378" s="91"/>
      <c r="N378" s="91"/>
      <c r="O378" s="91"/>
      <c r="P378" s="91"/>
      <c r="Q378" s="91"/>
      <c r="R378" s="91"/>
      <c r="S378" s="91"/>
      <c r="T378" s="91"/>
      <c r="U378" s="91"/>
      <c r="V378" s="91"/>
    </row>
    <row r="379" spans="1:22" ht="12" hidden="1" customHeight="1">
      <c r="A379" s="91"/>
      <c r="B379" s="91"/>
      <c r="C379" s="91"/>
      <c r="D379" s="91"/>
      <c r="E379" s="91"/>
      <c r="F379" s="92"/>
      <c r="G379" s="92"/>
      <c r="H379" s="92"/>
      <c r="I379" s="92"/>
      <c r="J379" s="91"/>
      <c r="K379" s="91"/>
      <c r="L379" s="91"/>
      <c r="M379" s="91"/>
      <c r="N379" s="91"/>
      <c r="O379" s="91"/>
      <c r="P379" s="91"/>
      <c r="Q379" s="91"/>
      <c r="R379" s="91"/>
      <c r="S379" s="91"/>
      <c r="T379" s="91"/>
      <c r="U379" s="91"/>
      <c r="V379" s="91"/>
    </row>
    <row r="380" spans="1:22" ht="12" hidden="1" customHeight="1">
      <c r="A380" s="91"/>
      <c r="B380" s="91"/>
      <c r="C380" s="91"/>
      <c r="D380" s="91"/>
      <c r="E380" s="91"/>
      <c r="F380" s="92"/>
      <c r="G380" s="92"/>
      <c r="H380" s="92"/>
      <c r="I380" s="92"/>
      <c r="J380" s="91"/>
      <c r="K380" s="91"/>
      <c r="L380" s="91"/>
      <c r="M380" s="91"/>
      <c r="N380" s="91"/>
      <c r="O380" s="91"/>
      <c r="P380" s="91"/>
      <c r="Q380" s="91"/>
      <c r="R380" s="91"/>
      <c r="S380" s="91"/>
      <c r="T380" s="91"/>
      <c r="U380" s="91"/>
      <c r="V380" s="91"/>
    </row>
    <row r="381" spans="1:22" ht="12" hidden="1" customHeight="1">
      <c r="A381" s="91"/>
      <c r="B381" s="91"/>
      <c r="C381" s="91"/>
      <c r="D381" s="91"/>
      <c r="E381" s="91"/>
      <c r="F381" s="92"/>
      <c r="G381" s="92"/>
      <c r="H381" s="92"/>
      <c r="I381" s="92"/>
      <c r="J381" s="91"/>
      <c r="K381" s="91"/>
      <c r="L381" s="91"/>
      <c r="M381" s="91"/>
      <c r="N381" s="91"/>
      <c r="O381" s="91"/>
      <c r="P381" s="91"/>
      <c r="Q381" s="91"/>
      <c r="R381" s="91"/>
      <c r="S381" s="91"/>
      <c r="T381" s="91"/>
      <c r="U381" s="91"/>
      <c r="V381" s="91"/>
    </row>
    <row r="382" spans="1:22" ht="12" hidden="1" customHeight="1">
      <c r="A382" s="91"/>
      <c r="B382" s="91"/>
      <c r="C382" s="91"/>
      <c r="D382" s="91"/>
      <c r="E382" s="91"/>
      <c r="F382" s="92"/>
      <c r="G382" s="92"/>
      <c r="H382" s="92"/>
      <c r="I382" s="92"/>
      <c r="J382" s="91"/>
      <c r="K382" s="91"/>
      <c r="L382" s="91"/>
      <c r="M382" s="91"/>
      <c r="N382" s="91"/>
      <c r="O382" s="91"/>
      <c r="P382" s="91"/>
      <c r="Q382" s="91"/>
      <c r="R382" s="91"/>
      <c r="S382" s="91"/>
      <c r="T382" s="91"/>
      <c r="U382" s="91"/>
      <c r="V382" s="91"/>
    </row>
    <row r="383" spans="1:22" ht="12" hidden="1" customHeight="1">
      <c r="A383" s="91"/>
      <c r="B383" s="91"/>
      <c r="C383" s="91"/>
      <c r="D383" s="91"/>
      <c r="E383" s="91"/>
      <c r="F383" s="92"/>
      <c r="G383" s="92"/>
      <c r="H383" s="92"/>
      <c r="I383" s="92"/>
      <c r="J383" s="91"/>
      <c r="K383" s="91"/>
      <c r="L383" s="91"/>
      <c r="M383" s="91"/>
      <c r="N383" s="91"/>
      <c r="O383" s="91"/>
      <c r="P383" s="91"/>
      <c r="Q383" s="91"/>
      <c r="R383" s="91"/>
      <c r="S383" s="91"/>
      <c r="T383" s="91"/>
      <c r="U383" s="91"/>
      <c r="V383" s="91"/>
    </row>
    <row r="384" spans="1:22" ht="12" hidden="1" customHeight="1">
      <c r="A384" s="91"/>
      <c r="B384" s="91"/>
      <c r="C384" s="91"/>
      <c r="D384" s="91"/>
      <c r="E384" s="91"/>
      <c r="F384" s="92"/>
      <c r="G384" s="92"/>
      <c r="H384" s="92"/>
      <c r="I384" s="92"/>
      <c r="J384" s="91"/>
      <c r="K384" s="91"/>
      <c r="L384" s="91"/>
      <c r="M384" s="91"/>
      <c r="N384" s="91"/>
      <c r="O384" s="91"/>
      <c r="P384" s="91"/>
      <c r="Q384" s="91"/>
      <c r="R384" s="91"/>
      <c r="S384" s="91"/>
      <c r="T384" s="91"/>
      <c r="U384" s="91"/>
      <c r="V384" s="91"/>
    </row>
    <row r="385" spans="1:22" ht="12" hidden="1" customHeight="1">
      <c r="A385" s="91"/>
      <c r="B385" s="91"/>
      <c r="C385" s="91"/>
      <c r="D385" s="91"/>
      <c r="E385" s="91"/>
      <c r="F385" s="92"/>
      <c r="G385" s="92"/>
      <c r="H385" s="92"/>
      <c r="I385" s="92"/>
      <c r="J385" s="91"/>
      <c r="K385" s="91"/>
      <c r="L385" s="91"/>
      <c r="M385" s="91"/>
      <c r="N385" s="91"/>
      <c r="O385" s="91"/>
      <c r="P385" s="91"/>
      <c r="Q385" s="91"/>
      <c r="R385" s="91"/>
      <c r="S385" s="91"/>
      <c r="T385" s="91"/>
      <c r="U385" s="91"/>
      <c r="V385" s="91"/>
    </row>
    <row r="386" spans="1:22" ht="12" hidden="1" customHeight="1">
      <c r="A386" s="91"/>
      <c r="B386" s="91"/>
      <c r="C386" s="91"/>
      <c r="D386" s="91"/>
      <c r="E386" s="91"/>
      <c r="F386" s="92"/>
      <c r="G386" s="92"/>
      <c r="H386" s="92"/>
      <c r="I386" s="92"/>
      <c r="J386" s="91"/>
      <c r="K386" s="91"/>
      <c r="L386" s="91"/>
      <c r="M386" s="91"/>
      <c r="N386" s="91"/>
      <c r="O386" s="91"/>
      <c r="P386" s="91"/>
      <c r="Q386" s="91"/>
      <c r="R386" s="91"/>
      <c r="S386" s="91"/>
      <c r="T386" s="91"/>
      <c r="U386" s="91"/>
      <c r="V386" s="91"/>
    </row>
    <row r="387" spans="1:22" ht="12" hidden="1" customHeight="1">
      <c r="A387" s="91"/>
      <c r="B387" s="91"/>
      <c r="C387" s="91"/>
      <c r="D387" s="91"/>
      <c r="E387" s="91"/>
      <c r="F387" s="92"/>
      <c r="G387" s="92"/>
      <c r="H387" s="92"/>
      <c r="I387" s="92"/>
      <c r="J387" s="91"/>
      <c r="K387" s="91"/>
      <c r="L387" s="91"/>
      <c r="M387" s="91"/>
      <c r="N387" s="91"/>
      <c r="O387" s="91"/>
      <c r="P387" s="91"/>
      <c r="Q387" s="91"/>
      <c r="R387" s="91"/>
      <c r="S387" s="91"/>
      <c r="T387" s="91"/>
      <c r="U387" s="91"/>
      <c r="V387" s="91"/>
    </row>
    <row r="388" spans="1:22" ht="12" hidden="1" customHeight="1">
      <c r="A388" s="91"/>
      <c r="B388" s="91"/>
      <c r="C388" s="91"/>
      <c r="D388" s="91"/>
      <c r="E388" s="91"/>
      <c r="F388" s="92"/>
      <c r="G388" s="92"/>
      <c r="H388" s="92"/>
      <c r="I388" s="92"/>
      <c r="J388" s="91"/>
      <c r="K388" s="91"/>
      <c r="L388" s="91"/>
      <c r="M388" s="91"/>
      <c r="N388" s="91"/>
      <c r="O388" s="91"/>
      <c r="P388" s="91"/>
      <c r="Q388" s="91"/>
      <c r="R388" s="91"/>
      <c r="S388" s="91"/>
      <c r="T388" s="91"/>
      <c r="U388" s="91"/>
      <c r="V388" s="91"/>
    </row>
    <row r="389" spans="1:22" ht="12" hidden="1" customHeight="1">
      <c r="A389" s="91"/>
      <c r="B389" s="91"/>
      <c r="C389" s="91"/>
      <c r="D389" s="91"/>
      <c r="E389" s="91"/>
      <c r="F389" s="92"/>
      <c r="G389" s="92"/>
      <c r="H389" s="92"/>
      <c r="I389" s="92"/>
      <c r="J389" s="91"/>
      <c r="K389" s="91"/>
      <c r="L389" s="91"/>
      <c r="M389" s="91"/>
      <c r="N389" s="91"/>
      <c r="O389" s="91"/>
      <c r="P389" s="91"/>
      <c r="Q389" s="91"/>
      <c r="R389" s="91"/>
      <c r="S389" s="91"/>
      <c r="T389" s="91"/>
      <c r="U389" s="91"/>
      <c r="V389" s="91"/>
    </row>
    <row r="390" spans="1:22" ht="12" hidden="1" customHeight="1">
      <c r="A390" s="91"/>
      <c r="B390" s="91"/>
      <c r="C390" s="91"/>
      <c r="D390" s="91"/>
      <c r="E390" s="91"/>
      <c r="F390" s="92"/>
      <c r="G390" s="92"/>
      <c r="H390" s="92"/>
      <c r="I390" s="92"/>
      <c r="J390" s="91"/>
      <c r="K390" s="91"/>
      <c r="L390" s="91"/>
      <c r="M390" s="91"/>
      <c r="N390" s="91"/>
      <c r="O390" s="91"/>
      <c r="P390" s="91"/>
      <c r="Q390" s="91"/>
      <c r="R390" s="91"/>
      <c r="S390" s="91"/>
      <c r="T390" s="91"/>
      <c r="U390" s="91"/>
      <c r="V390" s="91"/>
    </row>
    <row r="391" spans="1:22" ht="12" hidden="1" customHeight="1">
      <c r="A391" s="91"/>
      <c r="B391" s="91"/>
      <c r="C391" s="91"/>
      <c r="D391" s="91"/>
      <c r="E391" s="91"/>
      <c r="F391" s="92"/>
      <c r="G391" s="92"/>
      <c r="H391" s="92"/>
      <c r="I391" s="92"/>
      <c r="J391" s="91"/>
      <c r="K391" s="91"/>
      <c r="L391" s="91"/>
      <c r="M391" s="91"/>
      <c r="N391" s="91"/>
      <c r="O391" s="91"/>
      <c r="P391" s="91"/>
      <c r="Q391" s="91"/>
      <c r="R391" s="91"/>
      <c r="S391" s="91"/>
      <c r="T391" s="91"/>
      <c r="U391" s="91"/>
      <c r="V391" s="91"/>
    </row>
    <row r="392" spans="1:22" ht="12" hidden="1" customHeight="1">
      <c r="A392" s="91"/>
      <c r="B392" s="91"/>
      <c r="C392" s="91"/>
      <c r="D392" s="91"/>
      <c r="E392" s="91"/>
      <c r="F392" s="92"/>
      <c r="G392" s="92"/>
      <c r="H392" s="92"/>
      <c r="I392" s="92"/>
      <c r="J392" s="91"/>
      <c r="K392" s="91"/>
      <c r="L392" s="91"/>
      <c r="M392" s="91"/>
      <c r="N392" s="91"/>
      <c r="O392" s="91"/>
      <c r="P392" s="91"/>
      <c r="Q392" s="91"/>
      <c r="R392" s="91"/>
      <c r="S392" s="91"/>
      <c r="T392" s="91"/>
      <c r="U392" s="91"/>
      <c r="V392" s="91"/>
    </row>
    <row r="393" spans="1:22" ht="12" hidden="1" customHeight="1">
      <c r="A393" s="91"/>
      <c r="B393" s="91"/>
      <c r="C393" s="91"/>
      <c r="D393" s="91"/>
      <c r="E393" s="91"/>
      <c r="F393" s="92"/>
      <c r="G393" s="92"/>
      <c r="H393" s="92"/>
      <c r="I393" s="92"/>
      <c r="J393" s="91"/>
      <c r="K393" s="91"/>
      <c r="L393" s="91"/>
      <c r="M393" s="91"/>
      <c r="N393" s="91"/>
      <c r="O393" s="91"/>
      <c r="P393" s="91"/>
      <c r="Q393" s="91"/>
      <c r="R393" s="91"/>
      <c r="S393" s="91"/>
      <c r="T393" s="91"/>
      <c r="U393" s="91"/>
      <c r="V393" s="91"/>
    </row>
    <row r="394" spans="1:22" ht="12" hidden="1" customHeight="1">
      <c r="A394" s="91"/>
      <c r="B394" s="91"/>
      <c r="C394" s="91"/>
      <c r="D394" s="91"/>
      <c r="E394" s="91"/>
      <c r="F394" s="92"/>
      <c r="G394" s="92"/>
      <c r="H394" s="92"/>
      <c r="I394" s="92"/>
      <c r="J394" s="91"/>
      <c r="K394" s="91"/>
      <c r="L394" s="91"/>
      <c r="M394" s="91"/>
      <c r="N394" s="91"/>
      <c r="O394" s="91"/>
      <c r="P394" s="91"/>
      <c r="Q394" s="91"/>
      <c r="R394" s="91"/>
      <c r="S394" s="91"/>
      <c r="T394" s="91"/>
      <c r="U394" s="91"/>
      <c r="V394" s="91"/>
    </row>
    <row r="395" spans="1:22" ht="12" hidden="1" customHeight="1">
      <c r="A395" s="91"/>
      <c r="B395" s="91"/>
      <c r="C395" s="91"/>
      <c r="D395" s="91"/>
      <c r="E395" s="91"/>
      <c r="F395" s="92"/>
      <c r="G395" s="92"/>
      <c r="H395" s="92"/>
      <c r="I395" s="92"/>
      <c r="J395" s="91"/>
      <c r="K395" s="91"/>
      <c r="L395" s="91"/>
      <c r="M395" s="91"/>
      <c r="N395" s="91"/>
      <c r="O395" s="91"/>
      <c r="P395" s="91"/>
      <c r="Q395" s="91"/>
      <c r="R395" s="91"/>
      <c r="S395" s="91"/>
      <c r="T395" s="91"/>
      <c r="U395" s="91"/>
      <c r="V395" s="91"/>
    </row>
    <row r="396" spans="1:22" ht="12" hidden="1" customHeight="1">
      <c r="A396" s="91"/>
      <c r="B396" s="91"/>
      <c r="C396" s="91"/>
      <c r="D396" s="91"/>
      <c r="E396" s="91"/>
      <c r="F396" s="92"/>
      <c r="G396" s="92"/>
      <c r="H396" s="92"/>
      <c r="I396" s="92"/>
      <c r="J396" s="91"/>
      <c r="K396" s="91"/>
      <c r="L396" s="91"/>
      <c r="M396" s="91"/>
      <c r="N396" s="91"/>
      <c r="O396" s="91"/>
      <c r="P396" s="91"/>
      <c r="Q396" s="91"/>
      <c r="R396" s="91"/>
      <c r="S396" s="91"/>
      <c r="T396" s="91"/>
      <c r="U396" s="91"/>
      <c r="V396" s="91"/>
    </row>
    <row r="397" spans="1:22" ht="12" hidden="1" customHeight="1">
      <c r="A397" s="91"/>
      <c r="B397" s="91"/>
      <c r="C397" s="91"/>
      <c r="D397" s="91"/>
      <c r="E397" s="91"/>
      <c r="F397" s="92"/>
      <c r="G397" s="92"/>
      <c r="H397" s="92"/>
      <c r="I397" s="92"/>
      <c r="J397" s="91"/>
      <c r="K397" s="91"/>
      <c r="L397" s="91"/>
      <c r="M397" s="91"/>
      <c r="N397" s="91"/>
      <c r="O397" s="91"/>
      <c r="P397" s="91"/>
      <c r="Q397" s="91"/>
      <c r="R397" s="91"/>
      <c r="S397" s="91"/>
      <c r="T397" s="91"/>
      <c r="U397" s="91"/>
      <c r="V397" s="91"/>
    </row>
    <row r="398" spans="1:22" ht="12" hidden="1" customHeight="1">
      <c r="A398" s="91"/>
      <c r="B398" s="91"/>
      <c r="C398" s="91"/>
      <c r="D398" s="91"/>
      <c r="E398" s="91"/>
      <c r="F398" s="92"/>
      <c r="G398" s="92"/>
      <c r="H398" s="92"/>
      <c r="I398" s="92"/>
      <c r="J398" s="91"/>
      <c r="K398" s="91"/>
      <c r="L398" s="91"/>
      <c r="M398" s="91"/>
      <c r="N398" s="91"/>
      <c r="O398" s="91"/>
      <c r="P398" s="91"/>
      <c r="Q398" s="91"/>
      <c r="R398" s="91"/>
      <c r="S398" s="91"/>
      <c r="T398" s="91"/>
      <c r="U398" s="91"/>
      <c r="V398" s="91"/>
    </row>
    <row r="399" spans="1:22" ht="12" hidden="1" customHeight="1">
      <c r="A399" s="91"/>
      <c r="B399" s="91"/>
      <c r="C399" s="91"/>
      <c r="D399" s="91"/>
      <c r="E399" s="91"/>
      <c r="F399" s="92"/>
      <c r="G399" s="92"/>
      <c r="H399" s="92"/>
      <c r="I399" s="92"/>
      <c r="J399" s="91"/>
      <c r="K399" s="91"/>
      <c r="L399" s="91"/>
      <c r="M399" s="91"/>
      <c r="N399" s="91"/>
      <c r="O399" s="91"/>
      <c r="P399" s="91"/>
      <c r="Q399" s="91"/>
      <c r="R399" s="91"/>
      <c r="S399" s="91"/>
      <c r="T399" s="91"/>
      <c r="U399" s="91"/>
      <c r="V399" s="91"/>
    </row>
    <row r="400" spans="1:22" ht="12" hidden="1" customHeight="1">
      <c r="A400" s="91"/>
      <c r="B400" s="91"/>
      <c r="C400" s="91"/>
      <c r="D400" s="91"/>
      <c r="E400" s="91"/>
      <c r="F400" s="92"/>
      <c r="G400" s="92"/>
      <c r="H400" s="92"/>
      <c r="I400" s="92"/>
      <c r="J400" s="91"/>
      <c r="K400" s="91"/>
      <c r="L400" s="91"/>
      <c r="M400" s="91"/>
      <c r="N400" s="91"/>
      <c r="O400" s="91"/>
      <c r="P400" s="91"/>
      <c r="Q400" s="91"/>
      <c r="R400" s="91"/>
      <c r="S400" s="91"/>
      <c r="T400" s="91"/>
      <c r="U400" s="91"/>
      <c r="V400" s="91"/>
    </row>
    <row r="401" spans="1:22" ht="12" hidden="1" customHeight="1">
      <c r="A401" s="91"/>
      <c r="B401" s="91"/>
      <c r="C401" s="91"/>
      <c r="D401" s="91"/>
      <c r="E401" s="91"/>
      <c r="F401" s="92"/>
      <c r="G401" s="92"/>
      <c r="H401" s="92"/>
      <c r="I401" s="92"/>
      <c r="J401" s="91"/>
      <c r="K401" s="91"/>
      <c r="L401" s="91"/>
      <c r="M401" s="91"/>
      <c r="N401" s="91"/>
      <c r="O401" s="91"/>
      <c r="P401" s="91"/>
      <c r="Q401" s="91"/>
      <c r="R401" s="91"/>
      <c r="S401" s="91"/>
      <c r="T401" s="91"/>
      <c r="U401" s="91"/>
      <c r="V401" s="91"/>
    </row>
    <row r="402" spans="1:22" ht="12" hidden="1" customHeight="1">
      <c r="A402" s="91"/>
      <c r="B402" s="91"/>
      <c r="C402" s="91"/>
      <c r="D402" s="91"/>
      <c r="E402" s="91"/>
      <c r="F402" s="92"/>
      <c r="G402" s="92"/>
      <c r="H402" s="92"/>
      <c r="I402" s="92"/>
      <c r="J402" s="91"/>
      <c r="K402" s="91"/>
      <c r="L402" s="91"/>
      <c r="M402" s="91"/>
      <c r="N402" s="91"/>
      <c r="O402" s="91"/>
      <c r="P402" s="91"/>
      <c r="Q402" s="91"/>
      <c r="R402" s="91"/>
      <c r="S402" s="91"/>
      <c r="T402" s="91"/>
      <c r="U402" s="91"/>
      <c r="V402" s="91"/>
    </row>
    <row r="403" spans="1:22" ht="12" hidden="1" customHeight="1">
      <c r="A403" s="91"/>
      <c r="B403" s="91"/>
      <c r="C403" s="91"/>
      <c r="D403" s="91"/>
      <c r="E403" s="91"/>
      <c r="F403" s="92"/>
      <c r="G403" s="92"/>
      <c r="H403" s="92"/>
      <c r="I403" s="92"/>
      <c r="J403" s="91"/>
      <c r="K403" s="91"/>
      <c r="L403" s="91"/>
      <c r="M403" s="91"/>
      <c r="N403" s="91"/>
      <c r="O403" s="91"/>
      <c r="P403" s="91"/>
      <c r="Q403" s="91"/>
      <c r="R403" s="91"/>
      <c r="S403" s="91"/>
      <c r="T403" s="91"/>
      <c r="U403" s="91"/>
      <c r="V403" s="91"/>
    </row>
    <row r="404" spans="1:22" ht="12" hidden="1" customHeight="1">
      <c r="A404" s="91"/>
      <c r="B404" s="91"/>
      <c r="C404" s="91"/>
      <c r="D404" s="91"/>
      <c r="E404" s="91"/>
      <c r="F404" s="92"/>
      <c r="G404" s="92"/>
      <c r="H404" s="92"/>
      <c r="I404" s="92"/>
      <c r="J404" s="91"/>
      <c r="K404" s="91"/>
      <c r="L404" s="91"/>
      <c r="M404" s="91"/>
      <c r="N404" s="91"/>
      <c r="O404" s="91"/>
      <c r="P404" s="91"/>
      <c r="Q404" s="91"/>
      <c r="R404" s="91"/>
      <c r="S404" s="91"/>
      <c r="T404" s="91"/>
      <c r="U404" s="91"/>
      <c r="V404" s="91"/>
    </row>
    <row r="405" spans="1:22" ht="12" hidden="1" customHeight="1">
      <c r="A405" s="91"/>
      <c r="B405" s="91"/>
      <c r="C405" s="91"/>
      <c r="D405" s="91"/>
      <c r="E405" s="91"/>
      <c r="F405" s="92"/>
      <c r="G405" s="92"/>
      <c r="H405" s="92"/>
      <c r="I405" s="92"/>
      <c r="J405" s="91"/>
      <c r="K405" s="91"/>
      <c r="L405" s="91"/>
      <c r="M405" s="91"/>
      <c r="N405" s="91"/>
      <c r="O405" s="91"/>
      <c r="P405" s="91"/>
      <c r="Q405" s="91"/>
      <c r="R405" s="91"/>
      <c r="S405" s="91"/>
      <c r="T405" s="91"/>
      <c r="U405" s="91"/>
      <c r="V405" s="91"/>
    </row>
    <row r="406" spans="1:22" ht="12" hidden="1" customHeight="1">
      <c r="A406" s="91"/>
      <c r="B406" s="91"/>
      <c r="C406" s="91"/>
      <c r="D406" s="91"/>
      <c r="E406" s="91"/>
      <c r="F406" s="92"/>
      <c r="G406" s="92"/>
      <c r="H406" s="92"/>
      <c r="I406" s="92"/>
      <c r="J406" s="91"/>
      <c r="K406" s="91"/>
      <c r="L406" s="91"/>
      <c r="M406" s="91"/>
      <c r="N406" s="91"/>
      <c r="O406" s="91"/>
      <c r="P406" s="91"/>
      <c r="Q406" s="91"/>
      <c r="R406" s="91"/>
      <c r="S406" s="91"/>
      <c r="T406" s="91"/>
      <c r="U406" s="91"/>
      <c r="V406" s="91"/>
    </row>
    <row r="407" spans="1:22" ht="12" hidden="1" customHeight="1">
      <c r="A407" s="91"/>
      <c r="B407" s="91"/>
      <c r="C407" s="91"/>
      <c r="D407" s="91"/>
      <c r="E407" s="91"/>
      <c r="F407" s="92"/>
      <c r="G407" s="92"/>
      <c r="H407" s="92"/>
      <c r="I407" s="92"/>
      <c r="J407" s="91"/>
      <c r="K407" s="91"/>
      <c r="L407" s="91"/>
      <c r="M407" s="91"/>
      <c r="N407" s="91"/>
      <c r="O407" s="91"/>
      <c r="P407" s="91"/>
      <c r="Q407" s="91"/>
      <c r="R407" s="91"/>
      <c r="S407" s="91"/>
      <c r="T407" s="91"/>
      <c r="U407" s="91"/>
      <c r="V407" s="91"/>
    </row>
    <row r="408" spans="1:22" ht="12" hidden="1" customHeight="1">
      <c r="A408" s="91"/>
      <c r="B408" s="91"/>
      <c r="C408" s="91"/>
      <c r="D408" s="91"/>
      <c r="E408" s="91"/>
      <c r="F408" s="92"/>
      <c r="G408" s="92"/>
      <c r="H408" s="92"/>
      <c r="I408" s="92"/>
      <c r="J408" s="91"/>
      <c r="K408" s="91"/>
      <c r="L408" s="91"/>
      <c r="M408" s="91"/>
      <c r="N408" s="91"/>
      <c r="O408" s="91"/>
      <c r="P408" s="91"/>
      <c r="Q408" s="91"/>
      <c r="R408" s="91"/>
      <c r="S408" s="91"/>
      <c r="T408" s="91"/>
      <c r="U408" s="91"/>
      <c r="V408" s="91"/>
    </row>
    <row r="409" spans="1:22" ht="12" hidden="1" customHeight="1">
      <c r="A409" s="91"/>
      <c r="B409" s="91"/>
      <c r="C409" s="91"/>
      <c r="D409" s="91"/>
      <c r="E409" s="91"/>
      <c r="F409" s="92"/>
      <c r="G409" s="92"/>
      <c r="H409" s="92"/>
      <c r="I409" s="92"/>
      <c r="J409" s="91"/>
      <c r="K409" s="91"/>
      <c r="L409" s="91"/>
      <c r="M409" s="91"/>
      <c r="N409" s="91"/>
      <c r="O409" s="91"/>
      <c r="P409" s="91"/>
      <c r="Q409" s="91"/>
      <c r="R409" s="91"/>
      <c r="S409" s="91"/>
      <c r="T409" s="91"/>
      <c r="U409" s="91"/>
      <c r="V409" s="91"/>
    </row>
    <row r="410" spans="1:22" ht="12" hidden="1" customHeight="1">
      <c r="A410" s="91"/>
      <c r="B410" s="91"/>
      <c r="C410" s="91"/>
      <c r="D410" s="91"/>
      <c r="E410" s="91"/>
      <c r="F410" s="92"/>
      <c r="G410" s="92"/>
      <c r="H410" s="92"/>
      <c r="I410" s="92"/>
      <c r="J410" s="91"/>
      <c r="K410" s="91"/>
      <c r="L410" s="91"/>
      <c r="M410" s="91"/>
      <c r="N410" s="91"/>
      <c r="O410" s="91"/>
      <c r="P410" s="91"/>
      <c r="Q410" s="91"/>
      <c r="R410" s="91"/>
      <c r="S410" s="91"/>
      <c r="T410" s="91"/>
      <c r="U410" s="91"/>
      <c r="V410" s="91"/>
    </row>
    <row r="411" spans="1:22" ht="12" hidden="1" customHeight="1">
      <c r="A411" s="91"/>
      <c r="B411" s="91"/>
      <c r="C411" s="91"/>
      <c r="D411" s="91"/>
      <c r="E411" s="91"/>
      <c r="F411" s="92"/>
      <c r="G411" s="92"/>
      <c r="H411" s="92"/>
      <c r="I411" s="92"/>
      <c r="J411" s="91"/>
      <c r="K411" s="91"/>
      <c r="L411" s="91"/>
      <c r="M411" s="91"/>
      <c r="N411" s="91"/>
      <c r="O411" s="91"/>
      <c r="P411" s="91"/>
      <c r="Q411" s="91"/>
      <c r="R411" s="91"/>
      <c r="S411" s="91"/>
      <c r="T411" s="91"/>
      <c r="U411" s="91"/>
      <c r="V411" s="91"/>
    </row>
    <row r="412" spans="1:22" ht="12" hidden="1" customHeight="1">
      <c r="A412" s="91"/>
      <c r="B412" s="91"/>
      <c r="C412" s="91"/>
      <c r="D412" s="91"/>
      <c r="E412" s="91"/>
      <c r="F412" s="92"/>
      <c r="G412" s="92"/>
      <c r="H412" s="92"/>
      <c r="I412" s="92"/>
      <c r="J412" s="91"/>
      <c r="K412" s="91"/>
      <c r="L412" s="91"/>
      <c r="M412" s="91"/>
      <c r="N412" s="91"/>
      <c r="O412" s="91"/>
      <c r="P412" s="91"/>
      <c r="Q412" s="91"/>
      <c r="R412" s="91"/>
      <c r="S412" s="91"/>
      <c r="T412" s="91"/>
      <c r="U412" s="91"/>
      <c r="V412" s="91"/>
    </row>
    <row r="413" spans="1:22" ht="12" hidden="1" customHeight="1">
      <c r="A413" s="91"/>
      <c r="B413" s="91"/>
      <c r="C413" s="91"/>
      <c r="D413" s="91"/>
      <c r="E413" s="91"/>
      <c r="F413" s="92"/>
      <c r="G413" s="92"/>
      <c r="H413" s="92"/>
      <c r="I413" s="92"/>
      <c r="J413" s="91"/>
      <c r="K413" s="91"/>
      <c r="L413" s="91"/>
      <c r="M413" s="91"/>
      <c r="N413" s="91"/>
      <c r="O413" s="91"/>
      <c r="P413" s="91"/>
      <c r="Q413" s="91"/>
      <c r="R413" s="91"/>
      <c r="S413" s="91"/>
      <c r="T413" s="91"/>
      <c r="U413" s="91"/>
      <c r="V413" s="91"/>
    </row>
    <row r="414" spans="1:22" ht="12" hidden="1" customHeight="1">
      <c r="A414" s="91"/>
      <c r="B414" s="91"/>
      <c r="C414" s="91"/>
      <c r="D414" s="91"/>
      <c r="E414" s="91"/>
      <c r="F414" s="92"/>
      <c r="G414" s="92"/>
      <c r="H414" s="92"/>
      <c r="I414" s="92"/>
      <c r="J414" s="91"/>
      <c r="K414" s="91"/>
      <c r="L414" s="91"/>
      <c r="M414" s="91"/>
      <c r="N414" s="91"/>
      <c r="O414" s="91"/>
      <c r="P414" s="91"/>
      <c r="Q414" s="91"/>
      <c r="R414" s="91"/>
      <c r="S414" s="91"/>
      <c r="T414" s="91"/>
      <c r="U414" s="91"/>
      <c r="V414" s="91"/>
    </row>
    <row r="415" spans="1:22" ht="12" hidden="1" customHeight="1">
      <c r="A415" s="91"/>
      <c r="B415" s="91"/>
      <c r="C415" s="91"/>
      <c r="D415" s="91"/>
      <c r="E415" s="91"/>
      <c r="F415" s="92"/>
      <c r="G415" s="92"/>
      <c r="H415" s="92"/>
      <c r="I415" s="92"/>
      <c r="J415" s="91"/>
      <c r="K415" s="91"/>
      <c r="L415" s="91"/>
      <c r="M415" s="91"/>
      <c r="N415" s="91"/>
      <c r="O415" s="91"/>
      <c r="P415" s="91"/>
      <c r="Q415" s="91"/>
      <c r="R415" s="91"/>
      <c r="S415" s="91"/>
      <c r="T415" s="91"/>
      <c r="U415" s="91"/>
      <c r="V415" s="91"/>
    </row>
    <row r="416" spans="1:22" ht="12" hidden="1" customHeight="1">
      <c r="A416" s="91"/>
      <c r="B416" s="91"/>
      <c r="C416" s="91"/>
      <c r="D416" s="91"/>
      <c r="E416" s="91"/>
      <c r="F416" s="92"/>
      <c r="G416" s="92"/>
      <c r="H416" s="92"/>
      <c r="I416" s="92"/>
      <c r="J416" s="91"/>
      <c r="K416" s="91"/>
      <c r="L416" s="91"/>
      <c r="M416" s="91"/>
      <c r="N416" s="91"/>
      <c r="O416" s="91"/>
      <c r="P416" s="91"/>
      <c r="Q416" s="91"/>
      <c r="R416" s="91"/>
      <c r="S416" s="91"/>
      <c r="T416" s="91"/>
      <c r="U416" s="91"/>
      <c r="V416" s="91"/>
    </row>
    <row r="417" spans="1:22" ht="12" hidden="1" customHeight="1">
      <c r="A417" s="91"/>
      <c r="B417" s="91"/>
      <c r="C417" s="91"/>
      <c r="D417" s="91"/>
      <c r="E417" s="91"/>
      <c r="F417" s="92"/>
      <c r="G417" s="92"/>
      <c r="H417" s="92"/>
      <c r="I417" s="92"/>
      <c r="J417" s="91"/>
      <c r="K417" s="91"/>
      <c r="L417" s="91"/>
      <c r="M417" s="91"/>
      <c r="N417" s="91"/>
      <c r="O417" s="91"/>
      <c r="P417" s="91"/>
      <c r="Q417" s="91"/>
      <c r="R417" s="91"/>
      <c r="S417" s="91"/>
      <c r="T417" s="91"/>
      <c r="U417" s="91"/>
      <c r="V417" s="91"/>
    </row>
    <row r="418" spans="1:22" ht="12" hidden="1" customHeight="1">
      <c r="A418" s="91"/>
      <c r="B418" s="91"/>
      <c r="C418" s="91"/>
      <c r="D418" s="91"/>
      <c r="E418" s="91"/>
      <c r="F418" s="92"/>
      <c r="G418" s="92"/>
      <c r="H418" s="92"/>
      <c r="I418" s="92"/>
      <c r="J418" s="91"/>
      <c r="K418" s="91"/>
      <c r="L418" s="91"/>
      <c r="M418" s="91"/>
      <c r="N418" s="91"/>
      <c r="O418" s="91"/>
      <c r="P418" s="91"/>
      <c r="Q418" s="91"/>
      <c r="R418" s="91"/>
      <c r="S418" s="91"/>
      <c r="T418" s="91"/>
      <c r="U418" s="91"/>
      <c r="V418" s="91"/>
    </row>
    <row r="419" spans="1:22" ht="12" hidden="1" customHeight="1">
      <c r="A419" s="91"/>
      <c r="B419" s="91"/>
      <c r="C419" s="91"/>
      <c r="D419" s="91"/>
      <c r="E419" s="91"/>
      <c r="F419" s="92"/>
      <c r="G419" s="92"/>
      <c r="H419" s="92"/>
      <c r="I419" s="92"/>
      <c r="J419" s="91"/>
      <c r="K419" s="91"/>
      <c r="L419" s="91"/>
      <c r="M419" s="91"/>
      <c r="N419" s="91"/>
      <c r="O419" s="91"/>
      <c r="P419" s="91"/>
      <c r="Q419" s="91"/>
      <c r="R419" s="91"/>
      <c r="S419" s="91"/>
      <c r="T419" s="91"/>
      <c r="U419" s="91"/>
      <c r="V419" s="91"/>
    </row>
    <row r="420" spans="1:22" ht="12" hidden="1" customHeight="1">
      <c r="A420" s="91"/>
      <c r="B420" s="91"/>
      <c r="C420" s="91"/>
      <c r="D420" s="91"/>
      <c r="E420" s="91"/>
      <c r="F420" s="92"/>
      <c r="G420" s="92"/>
      <c r="H420" s="92"/>
      <c r="I420" s="92"/>
      <c r="J420" s="91"/>
      <c r="K420" s="91"/>
      <c r="L420" s="91"/>
      <c r="M420" s="91"/>
      <c r="N420" s="91"/>
      <c r="O420" s="91"/>
      <c r="P420" s="91"/>
      <c r="Q420" s="91"/>
      <c r="R420" s="91"/>
      <c r="S420" s="91"/>
      <c r="T420" s="91"/>
      <c r="U420" s="91"/>
      <c r="V420" s="91"/>
    </row>
    <row r="421" spans="1:22" ht="12" hidden="1" customHeight="1">
      <c r="A421" s="91"/>
      <c r="B421" s="91"/>
      <c r="C421" s="91"/>
      <c r="D421" s="91"/>
      <c r="E421" s="91"/>
      <c r="F421" s="92"/>
      <c r="G421" s="92"/>
      <c r="H421" s="92"/>
      <c r="I421" s="92"/>
      <c r="J421" s="91"/>
      <c r="K421" s="91"/>
      <c r="L421" s="91"/>
      <c r="M421" s="91"/>
      <c r="N421" s="91"/>
      <c r="O421" s="91"/>
      <c r="P421" s="91"/>
      <c r="Q421" s="91"/>
      <c r="R421" s="91"/>
      <c r="S421" s="91"/>
      <c r="T421" s="91"/>
      <c r="U421" s="91"/>
      <c r="V421" s="91"/>
    </row>
    <row r="422" spans="1:22" ht="12" hidden="1" customHeight="1">
      <c r="A422" s="91"/>
      <c r="B422" s="91"/>
      <c r="C422" s="91"/>
      <c r="D422" s="91"/>
      <c r="E422" s="91"/>
      <c r="F422" s="92"/>
      <c r="G422" s="92"/>
      <c r="H422" s="92"/>
      <c r="I422" s="92"/>
      <c r="J422" s="91"/>
      <c r="K422" s="91"/>
      <c r="L422" s="91"/>
      <c r="M422" s="91"/>
      <c r="N422" s="91"/>
      <c r="O422" s="91"/>
      <c r="P422" s="91"/>
      <c r="Q422" s="91"/>
      <c r="R422" s="91"/>
      <c r="S422" s="91"/>
      <c r="T422" s="91"/>
      <c r="U422" s="91"/>
      <c r="V422" s="91"/>
    </row>
    <row r="423" spans="1:22" ht="12" hidden="1" customHeight="1">
      <c r="A423" s="91"/>
      <c r="B423" s="91"/>
      <c r="C423" s="91"/>
      <c r="D423" s="91"/>
      <c r="E423" s="91"/>
      <c r="F423" s="92"/>
      <c r="G423" s="92"/>
      <c r="H423" s="92"/>
      <c r="I423" s="92"/>
      <c r="J423" s="91"/>
      <c r="K423" s="91"/>
      <c r="L423" s="91"/>
      <c r="M423" s="91"/>
      <c r="N423" s="91"/>
      <c r="O423" s="91"/>
      <c r="P423" s="91"/>
      <c r="Q423" s="91"/>
      <c r="R423" s="91"/>
      <c r="S423" s="91"/>
      <c r="T423" s="91"/>
      <c r="U423" s="91"/>
      <c r="V423" s="91"/>
    </row>
    <row r="424" spans="1:22" ht="12" hidden="1" customHeight="1">
      <c r="A424" s="91"/>
      <c r="B424" s="91"/>
      <c r="C424" s="91"/>
      <c r="D424" s="91"/>
      <c r="E424" s="91"/>
      <c r="F424" s="92"/>
      <c r="G424" s="92"/>
      <c r="H424" s="92"/>
      <c r="I424" s="92"/>
      <c r="J424" s="91"/>
      <c r="K424" s="91"/>
      <c r="L424" s="91"/>
      <c r="M424" s="91"/>
      <c r="N424" s="91"/>
      <c r="O424" s="91"/>
      <c r="P424" s="91"/>
      <c r="Q424" s="91"/>
      <c r="R424" s="91"/>
      <c r="S424" s="91"/>
      <c r="T424" s="91"/>
      <c r="U424" s="91"/>
      <c r="V424" s="91"/>
    </row>
    <row r="425" spans="1:22" ht="12" hidden="1" customHeight="1">
      <c r="A425" s="91"/>
      <c r="B425" s="91"/>
      <c r="C425" s="91"/>
      <c r="D425" s="91"/>
      <c r="E425" s="91"/>
      <c r="F425" s="92"/>
      <c r="G425" s="92"/>
      <c r="H425" s="92"/>
      <c r="I425" s="92"/>
      <c r="J425" s="91"/>
      <c r="K425" s="91"/>
      <c r="L425" s="91"/>
      <c r="M425" s="91"/>
      <c r="N425" s="91"/>
      <c r="O425" s="91"/>
      <c r="P425" s="91"/>
      <c r="Q425" s="91"/>
      <c r="R425" s="91"/>
      <c r="S425" s="91"/>
      <c r="T425" s="91"/>
      <c r="U425" s="91"/>
      <c r="V425" s="91"/>
    </row>
    <row r="426" spans="1:22" ht="12" hidden="1" customHeight="1">
      <c r="A426" s="91"/>
      <c r="B426" s="91"/>
      <c r="C426" s="91"/>
      <c r="D426" s="91"/>
      <c r="E426" s="91"/>
      <c r="F426" s="92"/>
      <c r="G426" s="92"/>
      <c r="H426" s="92"/>
      <c r="I426" s="92"/>
      <c r="J426" s="91"/>
      <c r="K426" s="91"/>
      <c r="L426" s="91"/>
      <c r="M426" s="91"/>
      <c r="N426" s="91"/>
      <c r="O426" s="91"/>
      <c r="P426" s="91"/>
      <c r="Q426" s="91"/>
      <c r="R426" s="91"/>
      <c r="S426" s="91"/>
      <c r="T426" s="91"/>
      <c r="U426" s="91"/>
      <c r="V426" s="91"/>
    </row>
    <row r="427" spans="1:22" ht="12" hidden="1" customHeight="1">
      <c r="A427" s="91"/>
      <c r="B427" s="91"/>
      <c r="C427" s="91"/>
      <c r="D427" s="91"/>
      <c r="E427" s="91"/>
      <c r="F427" s="92"/>
      <c r="G427" s="92"/>
      <c r="H427" s="92"/>
      <c r="I427" s="92"/>
      <c r="J427" s="91"/>
      <c r="K427" s="91"/>
      <c r="L427" s="91"/>
      <c r="M427" s="91"/>
      <c r="N427" s="91"/>
      <c r="O427" s="91"/>
      <c r="P427" s="91"/>
      <c r="Q427" s="91"/>
      <c r="R427" s="91"/>
      <c r="S427" s="91"/>
      <c r="T427" s="91"/>
      <c r="U427" s="91"/>
      <c r="V427" s="91"/>
    </row>
    <row r="428" spans="1:22" ht="12" hidden="1" customHeight="1">
      <c r="A428" s="91"/>
      <c r="B428" s="91"/>
      <c r="C428" s="91"/>
      <c r="D428" s="91"/>
      <c r="E428" s="91"/>
      <c r="F428" s="92"/>
      <c r="G428" s="92"/>
      <c r="H428" s="92"/>
      <c r="I428" s="92"/>
      <c r="J428" s="91"/>
      <c r="K428" s="91"/>
      <c r="L428" s="91"/>
      <c r="M428" s="91"/>
      <c r="N428" s="91"/>
      <c r="O428" s="91"/>
      <c r="P428" s="91"/>
      <c r="Q428" s="91"/>
      <c r="R428" s="91"/>
      <c r="S428" s="91"/>
      <c r="T428" s="91"/>
      <c r="U428" s="91"/>
      <c r="V428" s="91"/>
    </row>
    <row r="429" spans="1:22" ht="12" hidden="1" customHeight="1">
      <c r="A429" s="91"/>
      <c r="B429" s="91"/>
      <c r="C429" s="91"/>
      <c r="D429" s="91"/>
      <c r="E429" s="91"/>
      <c r="F429" s="92"/>
      <c r="G429" s="92"/>
      <c r="H429" s="92"/>
      <c r="I429" s="92"/>
      <c r="J429" s="91"/>
      <c r="K429" s="91"/>
      <c r="L429" s="91"/>
      <c r="M429" s="91"/>
      <c r="N429" s="91"/>
      <c r="O429" s="91"/>
      <c r="P429" s="91"/>
      <c r="Q429" s="91"/>
      <c r="R429" s="91"/>
      <c r="S429" s="91"/>
      <c r="T429" s="91"/>
      <c r="U429" s="91"/>
      <c r="V429" s="91"/>
    </row>
    <row r="430" spans="1:22" ht="12" hidden="1" customHeight="1">
      <c r="A430" s="91"/>
      <c r="B430" s="91"/>
      <c r="C430" s="91"/>
      <c r="D430" s="91"/>
      <c r="E430" s="91"/>
      <c r="F430" s="92"/>
      <c r="G430" s="92"/>
      <c r="H430" s="92"/>
      <c r="I430" s="92"/>
      <c r="J430" s="91"/>
      <c r="K430" s="91"/>
      <c r="L430" s="91"/>
      <c r="M430" s="91"/>
      <c r="N430" s="91"/>
      <c r="O430" s="91"/>
      <c r="P430" s="91"/>
      <c r="Q430" s="91"/>
      <c r="R430" s="91"/>
      <c r="S430" s="91"/>
      <c r="T430" s="91"/>
      <c r="U430" s="91"/>
      <c r="V430" s="91"/>
    </row>
    <row r="431" spans="1:22" ht="12" hidden="1" customHeight="1">
      <c r="A431" s="91"/>
      <c r="B431" s="91"/>
      <c r="C431" s="91"/>
      <c r="D431" s="91"/>
      <c r="E431" s="91"/>
      <c r="F431" s="92"/>
      <c r="G431" s="92"/>
      <c r="H431" s="92"/>
      <c r="I431" s="92"/>
      <c r="J431" s="91"/>
      <c r="K431" s="91"/>
      <c r="L431" s="91"/>
      <c r="M431" s="91"/>
      <c r="N431" s="91"/>
      <c r="O431" s="91"/>
      <c r="P431" s="91"/>
      <c r="Q431" s="91"/>
      <c r="R431" s="91"/>
      <c r="S431" s="91"/>
      <c r="T431" s="91"/>
      <c r="U431" s="91"/>
      <c r="V431" s="91"/>
    </row>
    <row r="432" spans="1:22" ht="12" hidden="1" customHeight="1">
      <c r="A432" s="91"/>
      <c r="B432" s="91"/>
      <c r="C432" s="91"/>
      <c r="D432" s="91"/>
      <c r="E432" s="91"/>
      <c r="F432" s="92"/>
      <c r="G432" s="92"/>
      <c r="H432" s="92"/>
      <c r="I432" s="92"/>
      <c r="J432" s="91"/>
      <c r="K432" s="91"/>
      <c r="L432" s="91"/>
      <c r="M432" s="91"/>
      <c r="N432" s="91"/>
      <c r="O432" s="91"/>
      <c r="P432" s="91"/>
      <c r="Q432" s="91"/>
      <c r="R432" s="91"/>
      <c r="S432" s="91"/>
      <c r="T432" s="91"/>
      <c r="U432" s="91"/>
      <c r="V432" s="91"/>
    </row>
    <row r="433" spans="1:22" ht="12" hidden="1" customHeight="1">
      <c r="A433" s="91"/>
      <c r="B433" s="91"/>
      <c r="C433" s="91"/>
      <c r="D433" s="91"/>
      <c r="E433" s="91"/>
      <c r="F433" s="92"/>
      <c r="G433" s="92"/>
      <c r="H433" s="92"/>
      <c r="I433" s="92"/>
      <c r="J433" s="91"/>
      <c r="K433" s="91"/>
      <c r="L433" s="91"/>
      <c r="M433" s="91"/>
      <c r="N433" s="91"/>
      <c r="O433" s="91"/>
      <c r="P433" s="91"/>
      <c r="Q433" s="91"/>
      <c r="R433" s="91"/>
      <c r="S433" s="91"/>
      <c r="T433" s="91"/>
      <c r="U433" s="91"/>
      <c r="V433" s="91"/>
    </row>
    <row r="434" spans="1:22" ht="12" hidden="1" customHeight="1">
      <c r="A434" s="91"/>
      <c r="B434" s="91"/>
      <c r="C434" s="91"/>
      <c r="D434" s="91"/>
      <c r="E434" s="91"/>
      <c r="F434" s="92"/>
      <c r="G434" s="92"/>
      <c r="H434" s="92"/>
      <c r="I434" s="92"/>
      <c r="J434" s="91"/>
      <c r="K434" s="91"/>
      <c r="L434" s="91"/>
      <c r="M434" s="91"/>
      <c r="N434" s="91"/>
      <c r="O434" s="91"/>
      <c r="P434" s="91"/>
      <c r="Q434" s="91"/>
      <c r="R434" s="91"/>
      <c r="S434" s="91"/>
      <c r="T434" s="91"/>
      <c r="U434" s="91"/>
      <c r="V434" s="91"/>
    </row>
    <row r="435" spans="1:22" ht="12" hidden="1" customHeight="1">
      <c r="A435" s="91"/>
      <c r="B435" s="91"/>
      <c r="C435" s="91"/>
      <c r="D435" s="91"/>
      <c r="E435" s="91"/>
      <c r="F435" s="92"/>
      <c r="G435" s="92"/>
      <c r="H435" s="92"/>
      <c r="I435" s="92"/>
      <c r="J435" s="91"/>
      <c r="K435" s="91"/>
      <c r="L435" s="91"/>
      <c r="M435" s="91"/>
      <c r="N435" s="91"/>
      <c r="O435" s="91"/>
      <c r="P435" s="91"/>
      <c r="Q435" s="91"/>
      <c r="R435" s="91"/>
      <c r="S435" s="91"/>
      <c r="T435" s="91"/>
      <c r="U435" s="91"/>
      <c r="V435" s="91"/>
    </row>
    <row r="436" spans="1:22" ht="12" hidden="1" customHeight="1">
      <c r="A436" s="91"/>
      <c r="B436" s="91"/>
      <c r="C436" s="91"/>
      <c r="D436" s="91"/>
      <c r="E436" s="91"/>
      <c r="F436" s="92"/>
      <c r="G436" s="92"/>
      <c r="H436" s="92"/>
      <c r="I436" s="92"/>
      <c r="J436" s="91"/>
      <c r="K436" s="91"/>
      <c r="L436" s="91"/>
      <c r="M436" s="91"/>
      <c r="N436" s="91"/>
      <c r="O436" s="91"/>
      <c r="P436" s="91"/>
      <c r="Q436" s="91"/>
      <c r="R436" s="91"/>
      <c r="S436" s="91"/>
      <c r="T436" s="91"/>
      <c r="U436" s="91"/>
      <c r="V436" s="91"/>
    </row>
    <row r="437" spans="1:22" ht="12" hidden="1" customHeight="1">
      <c r="A437" s="91"/>
      <c r="B437" s="91"/>
      <c r="C437" s="91"/>
      <c r="D437" s="91"/>
      <c r="E437" s="91"/>
      <c r="F437" s="92"/>
      <c r="G437" s="92"/>
      <c r="H437" s="92"/>
      <c r="I437" s="92"/>
      <c r="J437" s="91"/>
      <c r="K437" s="91"/>
      <c r="L437" s="91"/>
      <c r="M437" s="91"/>
      <c r="N437" s="91"/>
      <c r="O437" s="91"/>
      <c r="P437" s="91"/>
      <c r="Q437" s="91"/>
      <c r="R437" s="91"/>
      <c r="S437" s="91"/>
      <c r="T437" s="91"/>
      <c r="U437" s="91"/>
      <c r="V437" s="91"/>
    </row>
    <row r="438" spans="1:22" ht="12" hidden="1" customHeight="1">
      <c r="A438" s="91"/>
      <c r="B438" s="91"/>
      <c r="C438" s="91"/>
      <c r="D438" s="91"/>
      <c r="E438" s="91"/>
      <c r="F438" s="92"/>
      <c r="G438" s="92"/>
      <c r="H438" s="92"/>
      <c r="I438" s="92"/>
      <c r="J438" s="91"/>
      <c r="K438" s="91"/>
      <c r="L438" s="91"/>
      <c r="M438" s="91"/>
      <c r="N438" s="91"/>
      <c r="O438" s="91"/>
      <c r="P438" s="91"/>
      <c r="Q438" s="91"/>
      <c r="R438" s="91"/>
      <c r="S438" s="91"/>
      <c r="T438" s="91"/>
      <c r="U438" s="91"/>
      <c r="V438" s="91"/>
    </row>
    <row r="439" spans="1:22" ht="12" hidden="1" customHeight="1">
      <c r="A439" s="91"/>
      <c r="B439" s="91"/>
      <c r="C439" s="91"/>
      <c r="D439" s="91"/>
      <c r="E439" s="91"/>
      <c r="F439" s="92"/>
      <c r="G439" s="92"/>
      <c r="H439" s="92"/>
      <c r="I439" s="92"/>
      <c r="J439" s="91"/>
      <c r="K439" s="91"/>
      <c r="L439" s="91"/>
      <c r="M439" s="91"/>
      <c r="N439" s="91"/>
      <c r="O439" s="91"/>
      <c r="P439" s="91"/>
      <c r="Q439" s="91"/>
      <c r="R439" s="91"/>
      <c r="S439" s="91"/>
      <c r="T439" s="91"/>
      <c r="U439" s="91"/>
      <c r="V439" s="91"/>
    </row>
    <row r="440" spans="1:22" ht="12" hidden="1" customHeight="1">
      <c r="A440" s="91"/>
      <c r="B440" s="91"/>
      <c r="C440" s="91"/>
      <c r="D440" s="91"/>
      <c r="E440" s="91"/>
      <c r="F440" s="92"/>
      <c r="G440" s="92"/>
      <c r="H440" s="92"/>
      <c r="I440" s="92"/>
      <c r="J440" s="91"/>
      <c r="K440" s="91"/>
      <c r="L440" s="91"/>
      <c r="M440" s="91"/>
      <c r="N440" s="91"/>
      <c r="O440" s="91"/>
      <c r="P440" s="91"/>
      <c r="Q440" s="91"/>
      <c r="R440" s="91"/>
      <c r="S440" s="91"/>
      <c r="T440" s="91"/>
      <c r="U440" s="91"/>
      <c r="V440" s="91"/>
    </row>
    <row r="441" spans="1:22" ht="12" hidden="1" customHeight="1">
      <c r="A441" s="91"/>
      <c r="B441" s="91"/>
      <c r="C441" s="91"/>
      <c r="D441" s="91"/>
      <c r="E441" s="91"/>
      <c r="F441" s="92"/>
      <c r="G441" s="92"/>
      <c r="H441" s="92"/>
      <c r="I441" s="92"/>
      <c r="J441" s="91"/>
      <c r="K441" s="91"/>
      <c r="L441" s="91"/>
      <c r="M441" s="91"/>
      <c r="N441" s="91"/>
      <c r="O441" s="91"/>
      <c r="P441" s="91"/>
      <c r="Q441" s="91"/>
      <c r="R441" s="91"/>
      <c r="S441" s="91"/>
      <c r="T441" s="91"/>
      <c r="U441" s="91"/>
      <c r="V441" s="91"/>
    </row>
    <row r="442" spans="1:22" ht="12" hidden="1" customHeight="1">
      <c r="A442" s="91"/>
      <c r="B442" s="91"/>
      <c r="C442" s="91"/>
      <c r="D442" s="91"/>
      <c r="E442" s="91"/>
      <c r="F442" s="92"/>
      <c r="G442" s="92"/>
      <c r="H442" s="92"/>
      <c r="I442" s="92"/>
      <c r="J442" s="91"/>
      <c r="K442" s="91"/>
      <c r="L442" s="91"/>
      <c r="M442" s="91"/>
      <c r="N442" s="91"/>
      <c r="O442" s="91"/>
      <c r="P442" s="91"/>
      <c r="Q442" s="91"/>
      <c r="R442" s="91"/>
      <c r="S442" s="91"/>
      <c r="T442" s="91"/>
      <c r="U442" s="91"/>
      <c r="V442" s="91"/>
    </row>
    <row r="443" spans="1:22" ht="12" hidden="1" customHeight="1">
      <c r="A443" s="91"/>
      <c r="B443" s="91"/>
      <c r="C443" s="91"/>
      <c r="D443" s="91"/>
      <c r="E443" s="91"/>
      <c r="F443" s="92"/>
      <c r="G443" s="92"/>
      <c r="H443" s="92"/>
      <c r="I443" s="92"/>
      <c r="J443" s="91"/>
      <c r="K443" s="91"/>
      <c r="L443" s="91"/>
      <c r="M443" s="91"/>
      <c r="N443" s="91"/>
      <c r="O443" s="91"/>
      <c r="P443" s="91"/>
      <c r="Q443" s="91"/>
      <c r="R443" s="91"/>
      <c r="S443" s="91"/>
      <c r="T443" s="91"/>
      <c r="U443" s="91"/>
      <c r="V443" s="91"/>
    </row>
    <row r="444" spans="1:22" ht="12" hidden="1" customHeight="1">
      <c r="A444" s="91"/>
      <c r="B444" s="91"/>
      <c r="C444" s="91"/>
      <c r="D444" s="91"/>
      <c r="E444" s="91"/>
      <c r="F444" s="92"/>
      <c r="G444" s="92"/>
      <c r="H444" s="92"/>
      <c r="I444" s="92"/>
      <c r="J444" s="91"/>
      <c r="K444" s="91"/>
      <c r="L444" s="91"/>
      <c r="M444" s="91"/>
      <c r="N444" s="91"/>
      <c r="O444" s="91"/>
      <c r="P444" s="91"/>
      <c r="Q444" s="91"/>
      <c r="R444" s="91"/>
      <c r="S444" s="91"/>
      <c r="T444" s="91"/>
      <c r="U444" s="91"/>
      <c r="V444" s="91"/>
    </row>
    <row r="445" spans="1:22" ht="12" hidden="1" customHeight="1">
      <c r="A445" s="91"/>
      <c r="B445" s="91"/>
      <c r="C445" s="91"/>
      <c r="D445" s="91"/>
      <c r="E445" s="91"/>
      <c r="F445" s="92"/>
      <c r="G445" s="92"/>
      <c r="H445" s="92"/>
      <c r="I445" s="92"/>
      <c r="J445" s="91"/>
      <c r="K445" s="91"/>
      <c r="L445" s="91"/>
      <c r="M445" s="91"/>
      <c r="N445" s="91"/>
      <c r="O445" s="91"/>
      <c r="P445" s="91"/>
      <c r="Q445" s="91"/>
      <c r="R445" s="91"/>
      <c r="S445" s="91"/>
      <c r="T445" s="91"/>
      <c r="U445" s="91"/>
      <c r="V445" s="91"/>
    </row>
    <row r="446" spans="1:22" ht="12" hidden="1" customHeight="1">
      <c r="A446" s="91"/>
      <c r="B446" s="91"/>
      <c r="C446" s="91"/>
      <c r="D446" s="91"/>
      <c r="E446" s="91"/>
      <c r="F446" s="92"/>
      <c r="G446" s="92"/>
      <c r="H446" s="92"/>
      <c r="I446" s="92"/>
      <c r="J446" s="91"/>
      <c r="K446" s="91"/>
      <c r="L446" s="91"/>
      <c r="M446" s="91"/>
      <c r="N446" s="91"/>
      <c r="O446" s="91"/>
      <c r="P446" s="91"/>
      <c r="Q446" s="91"/>
      <c r="R446" s="91"/>
      <c r="S446" s="91"/>
      <c r="T446" s="91"/>
      <c r="U446" s="91"/>
      <c r="V446" s="91"/>
    </row>
    <row r="447" spans="1:22" ht="12" hidden="1" customHeight="1">
      <c r="A447" s="91"/>
      <c r="B447" s="91"/>
      <c r="C447" s="91"/>
      <c r="D447" s="91"/>
      <c r="E447" s="91"/>
      <c r="F447" s="92"/>
      <c r="G447" s="92"/>
      <c r="H447" s="92"/>
      <c r="I447" s="92"/>
      <c r="J447" s="91"/>
      <c r="K447" s="91"/>
      <c r="L447" s="91"/>
      <c r="M447" s="91"/>
      <c r="N447" s="91"/>
      <c r="O447" s="91"/>
      <c r="P447" s="91"/>
      <c r="Q447" s="91"/>
      <c r="R447" s="91"/>
      <c r="S447" s="91"/>
      <c r="T447" s="91"/>
      <c r="U447" s="91"/>
      <c r="V447" s="91"/>
    </row>
    <row r="448" spans="1:22" ht="12" hidden="1" customHeight="1">
      <c r="A448" s="91"/>
      <c r="B448" s="91"/>
      <c r="C448" s="91"/>
      <c r="D448" s="91"/>
      <c r="E448" s="91"/>
      <c r="F448" s="92"/>
      <c r="G448" s="92"/>
      <c r="H448" s="92"/>
      <c r="I448" s="92"/>
      <c r="J448" s="91"/>
      <c r="K448" s="91"/>
      <c r="L448" s="91"/>
      <c r="M448" s="91"/>
      <c r="N448" s="91"/>
      <c r="O448" s="91"/>
      <c r="P448" s="91"/>
      <c r="Q448" s="91"/>
      <c r="R448" s="91"/>
      <c r="S448" s="91"/>
      <c r="T448" s="91"/>
      <c r="U448" s="91"/>
      <c r="V448" s="91"/>
    </row>
    <row r="449" spans="1:22" ht="12" hidden="1" customHeight="1">
      <c r="A449" s="91"/>
      <c r="B449" s="91"/>
      <c r="C449" s="91"/>
      <c r="D449" s="91"/>
      <c r="E449" s="91"/>
      <c r="F449" s="92"/>
      <c r="G449" s="92"/>
      <c r="H449" s="92"/>
      <c r="I449" s="92"/>
      <c r="J449" s="91"/>
      <c r="K449" s="91"/>
      <c r="L449" s="91"/>
      <c r="M449" s="91"/>
      <c r="N449" s="91"/>
      <c r="O449" s="91"/>
      <c r="P449" s="91"/>
      <c r="Q449" s="91"/>
      <c r="R449" s="91"/>
      <c r="S449" s="91"/>
      <c r="T449" s="91"/>
      <c r="U449" s="91"/>
      <c r="V449" s="91"/>
    </row>
    <row r="450" spans="1:22" ht="12" hidden="1" customHeight="1">
      <c r="A450" s="91"/>
      <c r="B450" s="91"/>
      <c r="C450" s="91"/>
      <c r="D450" s="91"/>
      <c r="E450" s="91"/>
      <c r="F450" s="92"/>
      <c r="G450" s="92"/>
      <c r="H450" s="92"/>
      <c r="I450" s="92"/>
      <c r="J450" s="91"/>
      <c r="K450" s="91"/>
      <c r="L450" s="91"/>
      <c r="M450" s="91"/>
      <c r="N450" s="91"/>
      <c r="O450" s="91"/>
      <c r="P450" s="91"/>
      <c r="Q450" s="91"/>
      <c r="R450" s="91"/>
      <c r="S450" s="91"/>
      <c r="T450" s="91"/>
      <c r="U450" s="91"/>
      <c r="V450" s="91"/>
    </row>
    <row r="451" spans="1:22" ht="12" hidden="1" customHeight="1">
      <c r="A451" s="91"/>
      <c r="B451" s="91"/>
      <c r="C451" s="91"/>
      <c r="D451" s="91"/>
      <c r="E451" s="91"/>
      <c r="F451" s="92"/>
      <c r="G451" s="92"/>
      <c r="H451" s="92"/>
      <c r="I451" s="92"/>
      <c r="J451" s="91"/>
      <c r="K451" s="91"/>
      <c r="L451" s="91"/>
      <c r="M451" s="91"/>
      <c r="N451" s="91"/>
      <c r="O451" s="91"/>
      <c r="P451" s="91"/>
      <c r="Q451" s="91"/>
      <c r="R451" s="91"/>
      <c r="S451" s="91"/>
      <c r="T451" s="91"/>
      <c r="U451" s="91"/>
      <c r="V451" s="91"/>
    </row>
    <row r="452" spans="1:22" ht="12" hidden="1" customHeight="1">
      <c r="A452" s="91"/>
      <c r="B452" s="91"/>
      <c r="C452" s="91"/>
      <c r="D452" s="91"/>
      <c r="E452" s="91"/>
      <c r="F452" s="92"/>
      <c r="G452" s="92"/>
      <c r="H452" s="92"/>
      <c r="I452" s="92"/>
      <c r="J452" s="91"/>
      <c r="K452" s="91"/>
      <c r="L452" s="91"/>
      <c r="M452" s="91"/>
      <c r="N452" s="91"/>
      <c r="O452" s="91"/>
      <c r="P452" s="91"/>
      <c r="Q452" s="91"/>
      <c r="R452" s="91"/>
      <c r="S452" s="91"/>
      <c r="T452" s="91"/>
      <c r="U452" s="91"/>
      <c r="V452" s="91"/>
    </row>
    <row r="453" spans="1:22" ht="12" hidden="1" customHeight="1">
      <c r="A453" s="91"/>
      <c r="B453" s="91"/>
      <c r="C453" s="91"/>
      <c r="D453" s="91"/>
      <c r="E453" s="91"/>
      <c r="F453" s="92"/>
      <c r="G453" s="92"/>
      <c r="H453" s="92"/>
      <c r="I453" s="92"/>
      <c r="J453" s="91"/>
      <c r="K453" s="91"/>
      <c r="L453" s="91"/>
      <c r="M453" s="91"/>
      <c r="N453" s="91"/>
      <c r="O453" s="91"/>
      <c r="P453" s="91"/>
      <c r="Q453" s="91"/>
      <c r="R453" s="91"/>
      <c r="S453" s="91"/>
      <c r="T453" s="91"/>
      <c r="U453" s="91"/>
      <c r="V453" s="91"/>
    </row>
    <row r="454" spans="1:22" ht="12" hidden="1" customHeight="1">
      <c r="A454" s="91"/>
      <c r="B454" s="91"/>
      <c r="C454" s="91"/>
      <c r="D454" s="91"/>
      <c r="E454" s="91"/>
      <c r="F454" s="92"/>
      <c r="G454" s="92"/>
      <c r="H454" s="92"/>
      <c r="I454" s="92"/>
      <c r="J454" s="91"/>
      <c r="K454" s="91"/>
      <c r="L454" s="91"/>
      <c r="M454" s="91"/>
      <c r="N454" s="91"/>
      <c r="O454" s="91"/>
      <c r="P454" s="91"/>
      <c r="Q454" s="91"/>
      <c r="R454" s="91"/>
      <c r="S454" s="91"/>
      <c r="T454" s="91"/>
      <c r="U454" s="91"/>
      <c r="V454" s="91"/>
    </row>
    <row r="455" spans="1:22" ht="12" hidden="1" customHeight="1">
      <c r="A455" s="91"/>
      <c r="B455" s="91"/>
      <c r="C455" s="91"/>
      <c r="D455" s="91"/>
      <c r="E455" s="91"/>
      <c r="F455" s="92"/>
      <c r="G455" s="92"/>
      <c r="H455" s="92"/>
      <c r="I455" s="92"/>
      <c r="J455" s="91"/>
      <c r="K455" s="91"/>
      <c r="L455" s="91"/>
      <c r="M455" s="91"/>
      <c r="N455" s="91"/>
      <c r="O455" s="91"/>
      <c r="P455" s="91"/>
      <c r="Q455" s="91"/>
      <c r="R455" s="91"/>
      <c r="S455" s="91"/>
      <c r="T455" s="91"/>
      <c r="U455" s="91"/>
      <c r="V455" s="91"/>
    </row>
    <row r="456" spans="1:22" ht="12" hidden="1" customHeight="1">
      <c r="A456" s="91"/>
      <c r="B456" s="91"/>
      <c r="C456" s="91"/>
      <c r="D456" s="91"/>
      <c r="E456" s="91"/>
      <c r="F456" s="92"/>
      <c r="G456" s="92"/>
      <c r="H456" s="92"/>
      <c r="I456" s="92"/>
      <c r="J456" s="91"/>
      <c r="K456" s="91"/>
      <c r="L456" s="91"/>
      <c r="M456" s="91"/>
      <c r="N456" s="91"/>
      <c r="O456" s="91"/>
      <c r="P456" s="91"/>
      <c r="Q456" s="91"/>
      <c r="R456" s="91"/>
      <c r="S456" s="91"/>
      <c r="T456" s="91"/>
      <c r="U456" s="91"/>
      <c r="V456" s="91"/>
    </row>
    <row r="457" spans="1:22" ht="12" hidden="1" customHeight="1">
      <c r="A457" s="91"/>
      <c r="B457" s="91"/>
      <c r="C457" s="91"/>
      <c r="D457" s="91"/>
      <c r="E457" s="91"/>
      <c r="F457" s="92"/>
      <c r="G457" s="92"/>
      <c r="H457" s="92"/>
      <c r="I457" s="92"/>
      <c r="J457" s="91"/>
      <c r="K457" s="91"/>
      <c r="L457" s="91"/>
      <c r="M457" s="91"/>
      <c r="N457" s="91"/>
      <c r="O457" s="91"/>
      <c r="P457" s="91"/>
      <c r="Q457" s="91"/>
      <c r="R457" s="91"/>
      <c r="S457" s="91"/>
      <c r="T457" s="91"/>
      <c r="U457" s="91"/>
      <c r="V457" s="91"/>
    </row>
    <row r="458" spans="1:22" ht="12" hidden="1" customHeight="1">
      <c r="A458" s="91"/>
      <c r="B458" s="91"/>
      <c r="C458" s="91"/>
      <c r="D458" s="91"/>
      <c r="E458" s="91"/>
      <c r="F458" s="92"/>
      <c r="G458" s="92"/>
      <c r="H458" s="92"/>
      <c r="I458" s="92"/>
      <c r="J458" s="91"/>
      <c r="K458" s="91"/>
      <c r="L458" s="91"/>
      <c r="M458" s="91"/>
      <c r="N458" s="91"/>
      <c r="O458" s="91"/>
      <c r="P458" s="91"/>
      <c r="Q458" s="91"/>
      <c r="R458" s="91"/>
      <c r="S458" s="91"/>
      <c r="T458" s="91"/>
      <c r="U458" s="91"/>
      <c r="V458" s="91"/>
    </row>
    <row r="459" spans="1:22" ht="12" hidden="1" customHeight="1">
      <c r="A459" s="91"/>
      <c r="B459" s="91"/>
      <c r="C459" s="91"/>
      <c r="D459" s="91"/>
      <c r="E459" s="91"/>
      <c r="F459" s="92"/>
      <c r="G459" s="92"/>
      <c r="H459" s="92"/>
      <c r="I459" s="92"/>
      <c r="J459" s="91"/>
      <c r="K459" s="91"/>
      <c r="L459" s="91"/>
      <c r="M459" s="91"/>
      <c r="N459" s="91"/>
      <c r="O459" s="91"/>
      <c r="P459" s="91"/>
      <c r="Q459" s="91"/>
      <c r="R459" s="91"/>
      <c r="S459" s="91"/>
      <c r="T459" s="91"/>
      <c r="U459" s="91"/>
      <c r="V459" s="91"/>
    </row>
    <row r="460" spans="1:22" ht="12" hidden="1" customHeight="1">
      <c r="A460" s="91"/>
      <c r="B460" s="91"/>
      <c r="C460" s="91"/>
      <c r="D460" s="91"/>
      <c r="E460" s="91"/>
      <c r="F460" s="92"/>
      <c r="G460" s="92"/>
      <c r="H460" s="92"/>
      <c r="I460" s="92"/>
      <c r="J460" s="91"/>
      <c r="K460" s="91"/>
      <c r="L460" s="91"/>
      <c r="M460" s="91"/>
      <c r="N460" s="91"/>
      <c r="O460" s="91"/>
      <c r="P460" s="91"/>
      <c r="Q460" s="91"/>
      <c r="R460" s="91"/>
      <c r="S460" s="91"/>
      <c r="T460" s="91"/>
      <c r="U460" s="91"/>
      <c r="V460" s="91"/>
    </row>
    <row r="461" spans="1:22" ht="12" hidden="1" customHeight="1">
      <c r="A461" s="91"/>
      <c r="B461" s="91"/>
      <c r="C461" s="91"/>
      <c r="D461" s="91"/>
      <c r="E461" s="91"/>
      <c r="F461" s="92"/>
      <c r="G461" s="92"/>
      <c r="H461" s="92"/>
      <c r="I461" s="92"/>
      <c r="J461" s="91"/>
      <c r="K461" s="91"/>
      <c r="L461" s="91"/>
      <c r="M461" s="91"/>
      <c r="N461" s="91"/>
      <c r="O461" s="91"/>
      <c r="P461" s="91"/>
      <c r="Q461" s="91"/>
      <c r="R461" s="91"/>
      <c r="S461" s="91"/>
      <c r="T461" s="91"/>
      <c r="U461" s="91"/>
      <c r="V461" s="91"/>
    </row>
    <row r="462" spans="1:22" ht="12" hidden="1" customHeight="1">
      <c r="A462" s="91"/>
      <c r="B462" s="91"/>
      <c r="C462" s="91"/>
      <c r="D462" s="91"/>
      <c r="E462" s="91"/>
      <c r="F462" s="92"/>
      <c r="G462" s="92"/>
      <c r="H462" s="92"/>
      <c r="I462" s="92"/>
      <c r="J462" s="91"/>
      <c r="K462" s="91"/>
      <c r="L462" s="91"/>
      <c r="M462" s="91"/>
      <c r="N462" s="91"/>
      <c r="O462" s="91"/>
      <c r="P462" s="91"/>
      <c r="Q462" s="91"/>
      <c r="R462" s="91"/>
      <c r="S462" s="91"/>
      <c r="T462" s="91"/>
      <c r="U462" s="91"/>
      <c r="V462" s="91"/>
    </row>
    <row r="463" spans="1:22" ht="12" hidden="1" customHeight="1">
      <c r="A463" s="91"/>
      <c r="B463" s="91"/>
      <c r="C463" s="91"/>
      <c r="D463" s="91"/>
      <c r="E463" s="91"/>
      <c r="F463" s="92"/>
      <c r="G463" s="92"/>
      <c r="H463" s="92"/>
      <c r="I463" s="92"/>
      <c r="J463" s="91"/>
      <c r="K463" s="91"/>
      <c r="L463" s="91"/>
      <c r="M463" s="91"/>
      <c r="N463" s="91"/>
      <c r="O463" s="91"/>
      <c r="P463" s="91"/>
      <c r="Q463" s="91"/>
      <c r="R463" s="91"/>
      <c r="S463" s="91"/>
      <c r="T463" s="91"/>
      <c r="U463" s="91"/>
      <c r="V463" s="91"/>
    </row>
    <row r="464" spans="1:22" ht="12" hidden="1" customHeight="1">
      <c r="A464" s="91"/>
      <c r="B464" s="91"/>
      <c r="C464" s="91"/>
      <c r="D464" s="91"/>
      <c r="E464" s="91"/>
      <c r="F464" s="92"/>
      <c r="G464" s="92"/>
      <c r="H464" s="92"/>
      <c r="I464" s="92"/>
      <c r="J464" s="91"/>
      <c r="K464" s="91"/>
      <c r="L464" s="91"/>
      <c r="M464" s="91"/>
      <c r="N464" s="91"/>
      <c r="O464" s="91"/>
      <c r="P464" s="91"/>
      <c r="Q464" s="91"/>
      <c r="R464" s="91"/>
      <c r="S464" s="91"/>
      <c r="T464" s="91"/>
      <c r="U464" s="91"/>
      <c r="V464" s="91"/>
    </row>
    <row r="465" spans="1:22" ht="12" hidden="1" customHeight="1">
      <c r="A465" s="91"/>
      <c r="B465" s="91"/>
      <c r="C465" s="91"/>
      <c r="D465" s="91"/>
      <c r="E465" s="91"/>
      <c r="F465" s="92"/>
      <c r="G465" s="92"/>
      <c r="H465" s="92"/>
      <c r="I465" s="92"/>
      <c r="J465" s="91"/>
      <c r="K465" s="91"/>
      <c r="L465" s="91"/>
      <c r="M465" s="91"/>
      <c r="N465" s="91"/>
      <c r="O465" s="91"/>
      <c r="P465" s="91"/>
      <c r="Q465" s="91"/>
      <c r="R465" s="91"/>
      <c r="S465" s="91"/>
      <c r="T465" s="91"/>
      <c r="U465" s="91"/>
      <c r="V465" s="91"/>
    </row>
    <row r="466" spans="1:22" ht="12" hidden="1" customHeight="1">
      <c r="A466" s="91"/>
      <c r="B466" s="91"/>
      <c r="C466" s="91"/>
      <c r="D466" s="91"/>
      <c r="E466" s="91"/>
      <c r="F466" s="92"/>
      <c r="G466" s="92"/>
      <c r="H466" s="92"/>
      <c r="I466" s="92"/>
      <c r="J466" s="91"/>
      <c r="K466" s="91"/>
      <c r="L466" s="91"/>
      <c r="M466" s="91"/>
      <c r="N466" s="91"/>
      <c r="O466" s="91"/>
      <c r="P466" s="91"/>
      <c r="Q466" s="91"/>
      <c r="R466" s="91"/>
      <c r="S466" s="91"/>
      <c r="T466" s="91"/>
      <c r="U466" s="91"/>
      <c r="V466" s="91"/>
    </row>
    <row r="467" spans="1:22" ht="12" hidden="1" customHeight="1">
      <c r="A467" s="91"/>
      <c r="B467" s="91"/>
      <c r="C467" s="91"/>
      <c r="D467" s="91"/>
      <c r="E467" s="91"/>
      <c r="F467" s="92"/>
      <c r="G467" s="92"/>
      <c r="H467" s="92"/>
      <c r="I467" s="92"/>
      <c r="J467" s="91"/>
      <c r="K467" s="91"/>
      <c r="L467" s="91"/>
      <c r="M467" s="91"/>
      <c r="N467" s="91"/>
      <c r="O467" s="91"/>
      <c r="P467" s="91"/>
      <c r="Q467" s="91"/>
      <c r="R467" s="91"/>
      <c r="S467" s="91"/>
      <c r="T467" s="91"/>
      <c r="U467" s="91"/>
      <c r="V467" s="91"/>
    </row>
    <row r="468" spans="1:22" ht="12" hidden="1" customHeight="1">
      <c r="A468" s="91"/>
      <c r="B468" s="91"/>
      <c r="C468" s="91"/>
      <c r="D468" s="91"/>
      <c r="E468" s="91"/>
      <c r="F468" s="92"/>
      <c r="G468" s="92"/>
      <c r="H468" s="92"/>
      <c r="I468" s="92"/>
      <c r="J468" s="91"/>
      <c r="K468" s="91"/>
      <c r="L468" s="91"/>
      <c r="M468" s="91"/>
      <c r="N468" s="91"/>
      <c r="O468" s="91"/>
      <c r="P468" s="91"/>
      <c r="Q468" s="91"/>
      <c r="R468" s="91"/>
      <c r="S468" s="91"/>
      <c r="T468" s="91"/>
      <c r="U468" s="91"/>
      <c r="V468" s="91"/>
    </row>
    <row r="469" spans="1:22" ht="12" hidden="1" customHeight="1">
      <c r="A469" s="91"/>
      <c r="B469" s="91"/>
      <c r="C469" s="91"/>
      <c r="D469" s="91"/>
      <c r="E469" s="91"/>
      <c r="F469" s="92"/>
      <c r="G469" s="92"/>
      <c r="H469" s="92"/>
      <c r="I469" s="92"/>
      <c r="J469" s="91"/>
      <c r="K469" s="91"/>
      <c r="L469" s="91"/>
      <c r="M469" s="91"/>
      <c r="N469" s="91"/>
      <c r="O469" s="91"/>
      <c r="P469" s="91"/>
      <c r="Q469" s="91"/>
      <c r="R469" s="91"/>
      <c r="S469" s="91"/>
      <c r="T469" s="91"/>
      <c r="U469" s="91"/>
      <c r="V469" s="91"/>
    </row>
    <row r="470" spans="1:22" ht="12" hidden="1" customHeight="1">
      <c r="A470" s="91"/>
      <c r="B470" s="91"/>
      <c r="C470" s="91"/>
      <c r="D470" s="91"/>
      <c r="E470" s="91"/>
      <c r="F470" s="92"/>
      <c r="G470" s="92"/>
      <c r="H470" s="92"/>
      <c r="I470" s="92"/>
      <c r="J470" s="91"/>
      <c r="K470" s="91"/>
      <c r="L470" s="91"/>
      <c r="M470" s="91"/>
      <c r="N470" s="91"/>
      <c r="O470" s="91"/>
      <c r="P470" s="91"/>
      <c r="Q470" s="91"/>
      <c r="R470" s="91"/>
      <c r="S470" s="91"/>
      <c r="T470" s="91"/>
      <c r="U470" s="91"/>
      <c r="V470" s="91"/>
    </row>
    <row r="471" spans="1:22" ht="12" hidden="1" customHeight="1">
      <c r="A471" s="91"/>
      <c r="B471" s="91"/>
      <c r="C471" s="91"/>
      <c r="D471" s="91"/>
      <c r="E471" s="91"/>
      <c r="F471" s="92"/>
      <c r="G471" s="92"/>
      <c r="H471" s="92"/>
      <c r="I471" s="92"/>
      <c r="J471" s="91"/>
      <c r="K471" s="91"/>
      <c r="L471" s="91"/>
      <c r="M471" s="91"/>
      <c r="N471" s="91"/>
      <c r="O471" s="91"/>
      <c r="P471" s="91"/>
      <c r="Q471" s="91"/>
      <c r="R471" s="91"/>
      <c r="S471" s="91"/>
      <c r="T471" s="91"/>
      <c r="U471" s="91"/>
      <c r="V471" s="91"/>
    </row>
    <row r="472" spans="1:22" ht="12" hidden="1" customHeight="1">
      <c r="A472" s="91"/>
      <c r="B472" s="91"/>
      <c r="C472" s="91"/>
      <c r="D472" s="91"/>
      <c r="E472" s="91"/>
      <c r="F472" s="92"/>
      <c r="G472" s="92"/>
      <c r="H472" s="92"/>
      <c r="I472" s="92"/>
      <c r="J472" s="91"/>
      <c r="K472" s="91"/>
      <c r="L472" s="91"/>
      <c r="M472" s="91"/>
      <c r="N472" s="91"/>
      <c r="O472" s="91"/>
      <c r="P472" s="91"/>
      <c r="Q472" s="91"/>
      <c r="R472" s="91"/>
      <c r="S472" s="91"/>
      <c r="T472" s="91"/>
      <c r="U472" s="91"/>
      <c r="V472" s="91"/>
    </row>
    <row r="473" spans="1:22" ht="12" hidden="1" customHeight="1">
      <c r="A473" s="91"/>
      <c r="B473" s="91"/>
      <c r="C473" s="91"/>
      <c r="D473" s="91"/>
      <c r="E473" s="91"/>
      <c r="F473" s="92"/>
      <c r="G473" s="92"/>
      <c r="H473" s="92"/>
      <c r="I473" s="92"/>
      <c r="J473" s="91"/>
      <c r="K473" s="91"/>
      <c r="L473" s="91"/>
      <c r="M473" s="91"/>
      <c r="N473" s="91"/>
      <c r="O473" s="91"/>
      <c r="P473" s="91"/>
      <c r="Q473" s="91"/>
      <c r="R473" s="91"/>
      <c r="S473" s="91"/>
      <c r="T473" s="91"/>
      <c r="U473" s="91"/>
      <c r="V473" s="91"/>
    </row>
    <row r="474" spans="1:22" ht="12" hidden="1" customHeight="1">
      <c r="A474" s="91"/>
      <c r="B474" s="91"/>
      <c r="C474" s="91"/>
      <c r="D474" s="91"/>
      <c r="E474" s="91"/>
      <c r="F474" s="92"/>
      <c r="G474" s="92"/>
      <c r="H474" s="92"/>
      <c r="I474" s="92"/>
      <c r="J474" s="91"/>
      <c r="K474" s="91"/>
      <c r="L474" s="91"/>
      <c r="M474" s="91"/>
      <c r="N474" s="91"/>
      <c r="O474" s="91"/>
      <c r="P474" s="91"/>
      <c r="Q474" s="91"/>
      <c r="R474" s="91"/>
      <c r="S474" s="91"/>
      <c r="T474" s="91"/>
      <c r="U474" s="91"/>
      <c r="V474" s="91"/>
    </row>
    <row r="475" spans="1:22" ht="12" hidden="1" customHeight="1">
      <c r="A475" s="91"/>
      <c r="B475" s="91"/>
      <c r="C475" s="91"/>
      <c r="D475" s="91"/>
      <c r="E475" s="91"/>
      <c r="F475" s="92"/>
      <c r="G475" s="92"/>
      <c r="H475" s="92"/>
      <c r="I475" s="92"/>
      <c r="J475" s="91"/>
      <c r="K475" s="91"/>
      <c r="L475" s="91"/>
      <c r="M475" s="91"/>
      <c r="N475" s="91"/>
      <c r="O475" s="91"/>
      <c r="P475" s="91"/>
      <c r="Q475" s="91"/>
      <c r="R475" s="91"/>
      <c r="S475" s="91"/>
      <c r="T475" s="91"/>
      <c r="U475" s="91"/>
      <c r="V475" s="91"/>
    </row>
    <row r="476" spans="1:22" ht="12" hidden="1" customHeight="1">
      <c r="A476" s="91"/>
      <c r="B476" s="91"/>
      <c r="C476" s="91"/>
      <c r="D476" s="91"/>
      <c r="E476" s="91"/>
      <c r="F476" s="92"/>
      <c r="G476" s="92"/>
      <c r="H476" s="92"/>
      <c r="I476" s="92"/>
      <c r="J476" s="91"/>
      <c r="K476" s="91"/>
      <c r="L476" s="91"/>
      <c r="M476" s="91"/>
      <c r="N476" s="91"/>
      <c r="O476" s="91"/>
      <c r="P476" s="91"/>
      <c r="Q476" s="91"/>
      <c r="R476" s="91"/>
      <c r="S476" s="91"/>
      <c r="T476" s="91"/>
      <c r="U476" s="91"/>
      <c r="V476" s="91"/>
    </row>
    <row r="477" spans="1:22" ht="12" hidden="1" customHeight="1">
      <c r="A477" s="91"/>
      <c r="B477" s="91"/>
      <c r="C477" s="91"/>
      <c r="D477" s="91"/>
      <c r="E477" s="91"/>
      <c r="F477" s="92"/>
      <c r="G477" s="92"/>
      <c r="H477" s="92"/>
      <c r="I477" s="92"/>
      <c r="J477" s="91"/>
      <c r="K477" s="91"/>
      <c r="L477" s="91"/>
      <c r="M477" s="91"/>
      <c r="N477" s="91"/>
      <c r="O477" s="91"/>
      <c r="P477" s="91"/>
      <c r="Q477" s="91"/>
      <c r="R477" s="91"/>
      <c r="S477" s="91"/>
      <c r="T477" s="91"/>
      <c r="U477" s="91"/>
      <c r="V477" s="91"/>
    </row>
    <row r="478" spans="1:22" ht="12" hidden="1" customHeight="1">
      <c r="A478" s="91"/>
      <c r="B478" s="91"/>
      <c r="C478" s="91"/>
      <c r="D478" s="91"/>
      <c r="E478" s="91"/>
      <c r="F478" s="92"/>
      <c r="G478" s="92"/>
      <c r="H478" s="92"/>
      <c r="I478" s="92"/>
      <c r="J478" s="91"/>
      <c r="K478" s="91"/>
      <c r="L478" s="91"/>
      <c r="M478" s="91"/>
      <c r="N478" s="91"/>
      <c r="O478" s="91"/>
      <c r="P478" s="91"/>
      <c r="Q478" s="91"/>
      <c r="R478" s="91"/>
      <c r="S478" s="91"/>
      <c r="T478" s="91"/>
      <c r="U478" s="91"/>
      <c r="V478" s="91"/>
    </row>
    <row r="479" spans="1:22" ht="12" hidden="1" customHeight="1">
      <c r="A479" s="91"/>
      <c r="B479" s="91"/>
      <c r="C479" s="91"/>
      <c r="D479" s="91"/>
      <c r="E479" s="91"/>
      <c r="F479" s="92"/>
      <c r="G479" s="92"/>
      <c r="H479" s="92"/>
      <c r="I479" s="92"/>
      <c r="J479" s="91"/>
      <c r="K479" s="91"/>
      <c r="L479" s="91"/>
      <c r="M479" s="91"/>
      <c r="N479" s="91"/>
      <c r="O479" s="91"/>
      <c r="P479" s="91"/>
      <c r="Q479" s="91"/>
      <c r="R479" s="91"/>
      <c r="S479" s="91"/>
      <c r="T479" s="91"/>
      <c r="U479" s="91"/>
      <c r="V479" s="91"/>
    </row>
    <row r="480" spans="1:22" ht="12" hidden="1" customHeight="1">
      <c r="A480" s="91"/>
      <c r="B480" s="91"/>
      <c r="C480" s="91"/>
      <c r="D480" s="91"/>
      <c r="E480" s="91"/>
      <c r="F480" s="92"/>
      <c r="G480" s="92"/>
      <c r="H480" s="92"/>
      <c r="I480" s="92"/>
      <c r="J480" s="91"/>
      <c r="K480" s="91"/>
      <c r="L480" s="91"/>
      <c r="M480" s="91"/>
      <c r="N480" s="91"/>
      <c r="O480" s="91"/>
      <c r="P480" s="91"/>
      <c r="Q480" s="91"/>
      <c r="R480" s="91"/>
      <c r="S480" s="91"/>
      <c r="T480" s="91"/>
      <c r="U480" s="91"/>
      <c r="V480" s="91"/>
    </row>
    <row r="481" spans="1:22" ht="12" hidden="1" customHeight="1">
      <c r="A481" s="91"/>
      <c r="B481" s="91"/>
      <c r="C481" s="91"/>
      <c r="D481" s="91"/>
      <c r="E481" s="91"/>
      <c r="F481" s="92"/>
      <c r="G481" s="92"/>
      <c r="H481" s="92"/>
      <c r="I481" s="92"/>
      <c r="J481" s="91"/>
      <c r="K481" s="91"/>
      <c r="L481" s="91"/>
      <c r="M481" s="91"/>
      <c r="N481" s="91"/>
      <c r="O481" s="91"/>
      <c r="P481" s="91"/>
      <c r="Q481" s="91"/>
      <c r="R481" s="91"/>
      <c r="S481" s="91"/>
      <c r="T481" s="91"/>
      <c r="U481" s="91"/>
      <c r="V481" s="91"/>
    </row>
    <row r="482" spans="1:22" ht="12" hidden="1" customHeight="1">
      <c r="A482" s="91"/>
      <c r="B482" s="91"/>
      <c r="C482" s="91"/>
      <c r="D482" s="91"/>
      <c r="E482" s="91"/>
      <c r="F482" s="92"/>
      <c r="G482" s="92"/>
      <c r="H482" s="92"/>
      <c r="I482" s="92"/>
      <c r="J482" s="91"/>
      <c r="K482" s="91"/>
      <c r="L482" s="91"/>
      <c r="M482" s="91"/>
      <c r="N482" s="91"/>
      <c r="O482" s="91"/>
      <c r="P482" s="91"/>
      <c r="Q482" s="91"/>
      <c r="R482" s="91"/>
      <c r="S482" s="91"/>
      <c r="T482" s="91"/>
      <c r="U482" s="91"/>
      <c r="V482" s="91"/>
    </row>
    <row r="483" spans="1:22" ht="12" hidden="1" customHeight="1">
      <c r="A483" s="91"/>
      <c r="B483" s="91"/>
      <c r="C483" s="91"/>
      <c r="D483" s="91"/>
      <c r="E483" s="91"/>
      <c r="F483" s="92"/>
      <c r="G483" s="92"/>
      <c r="H483" s="92"/>
      <c r="I483" s="92"/>
      <c r="J483" s="91"/>
      <c r="K483" s="91"/>
      <c r="L483" s="91"/>
      <c r="M483" s="91"/>
      <c r="N483" s="91"/>
      <c r="O483" s="91"/>
      <c r="P483" s="91"/>
      <c r="Q483" s="91"/>
      <c r="R483" s="91"/>
      <c r="S483" s="91"/>
      <c r="T483" s="91"/>
      <c r="U483" s="91"/>
      <c r="V483" s="91"/>
    </row>
    <row r="484" spans="1:22" ht="12" hidden="1" customHeight="1">
      <c r="A484" s="91"/>
      <c r="B484" s="91"/>
      <c r="C484" s="91"/>
      <c r="D484" s="91"/>
      <c r="E484" s="91"/>
      <c r="F484" s="92"/>
      <c r="G484" s="92"/>
      <c r="H484" s="92"/>
      <c r="I484" s="92"/>
      <c r="J484" s="91"/>
      <c r="K484" s="91"/>
      <c r="L484" s="91"/>
      <c r="M484" s="91"/>
      <c r="N484" s="91"/>
      <c r="O484" s="91"/>
      <c r="P484" s="91"/>
      <c r="Q484" s="91"/>
      <c r="R484" s="91"/>
      <c r="S484" s="91"/>
      <c r="T484" s="91"/>
      <c r="U484" s="91"/>
      <c r="V484" s="91"/>
    </row>
    <row r="485" spans="1:22" ht="12" hidden="1" customHeight="1">
      <c r="A485" s="91"/>
      <c r="B485" s="91"/>
      <c r="C485" s="91"/>
      <c r="D485" s="91"/>
      <c r="E485" s="91"/>
      <c r="F485" s="92"/>
      <c r="G485" s="92"/>
      <c r="H485" s="92"/>
      <c r="I485" s="92"/>
      <c r="J485" s="91"/>
      <c r="K485" s="91"/>
      <c r="L485" s="91"/>
      <c r="M485" s="91"/>
      <c r="N485" s="91"/>
      <c r="O485" s="91"/>
      <c r="P485" s="91"/>
      <c r="Q485" s="91"/>
      <c r="R485" s="91"/>
      <c r="S485" s="91"/>
      <c r="T485" s="91"/>
      <c r="U485" s="91"/>
      <c r="V485" s="91"/>
    </row>
    <row r="486" spans="1:22" ht="12" hidden="1" customHeight="1">
      <c r="A486" s="91"/>
      <c r="B486" s="91"/>
      <c r="C486" s="91"/>
      <c r="D486" s="91"/>
      <c r="E486" s="91"/>
      <c r="F486" s="92"/>
      <c r="G486" s="92"/>
      <c r="H486" s="92"/>
      <c r="I486" s="92"/>
      <c r="J486" s="91"/>
      <c r="K486" s="91"/>
      <c r="L486" s="91"/>
      <c r="M486" s="91"/>
      <c r="N486" s="91"/>
      <c r="O486" s="91"/>
      <c r="P486" s="91"/>
      <c r="Q486" s="91"/>
      <c r="R486" s="91"/>
      <c r="S486" s="91"/>
      <c r="T486" s="91"/>
      <c r="U486" s="91"/>
      <c r="V486" s="91"/>
    </row>
    <row r="487" spans="1:22" ht="12" hidden="1" customHeight="1">
      <c r="A487" s="91"/>
      <c r="B487" s="91"/>
      <c r="C487" s="91"/>
      <c r="D487" s="91"/>
      <c r="E487" s="91"/>
      <c r="F487" s="92"/>
      <c r="G487" s="92"/>
      <c r="H487" s="92"/>
      <c r="I487" s="92"/>
      <c r="J487" s="91"/>
      <c r="K487" s="91"/>
      <c r="L487" s="91"/>
      <c r="M487" s="91"/>
      <c r="N487" s="91"/>
      <c r="O487" s="91"/>
      <c r="P487" s="91"/>
      <c r="Q487" s="91"/>
      <c r="R487" s="91"/>
      <c r="S487" s="91"/>
      <c r="T487" s="91"/>
      <c r="U487" s="91"/>
      <c r="V487" s="91"/>
    </row>
    <row r="488" spans="1:22" ht="12" hidden="1" customHeight="1">
      <c r="A488" s="91"/>
      <c r="B488" s="91"/>
      <c r="C488" s="91"/>
      <c r="D488" s="91"/>
      <c r="E488" s="91"/>
      <c r="F488" s="92"/>
      <c r="G488" s="92"/>
      <c r="H488" s="92"/>
      <c r="I488" s="92"/>
      <c r="J488" s="91"/>
      <c r="K488" s="91"/>
      <c r="L488" s="91"/>
      <c r="M488" s="91"/>
      <c r="N488" s="91"/>
      <c r="O488" s="91"/>
      <c r="P488" s="91"/>
      <c r="Q488" s="91"/>
      <c r="R488" s="91"/>
      <c r="S488" s="91"/>
      <c r="T488" s="91"/>
      <c r="U488" s="91"/>
      <c r="V488" s="91"/>
    </row>
    <row r="489" spans="1:22" ht="12" hidden="1" customHeight="1">
      <c r="A489" s="91"/>
      <c r="B489" s="91"/>
      <c r="C489" s="91"/>
      <c r="D489" s="91"/>
      <c r="E489" s="91"/>
      <c r="F489" s="92"/>
      <c r="G489" s="92"/>
      <c r="H489" s="92"/>
      <c r="I489" s="92"/>
      <c r="J489" s="91"/>
      <c r="K489" s="91"/>
      <c r="L489" s="91"/>
      <c r="M489" s="91"/>
      <c r="N489" s="91"/>
      <c r="O489" s="91"/>
      <c r="P489" s="91"/>
      <c r="Q489" s="91"/>
      <c r="R489" s="91"/>
      <c r="S489" s="91"/>
      <c r="T489" s="91"/>
      <c r="U489" s="91"/>
      <c r="V489" s="91"/>
    </row>
    <row r="490" spans="1:22" ht="12" hidden="1" customHeight="1">
      <c r="A490" s="91"/>
      <c r="B490" s="91"/>
      <c r="C490" s="91"/>
      <c r="D490" s="91"/>
      <c r="E490" s="91"/>
      <c r="F490" s="92"/>
      <c r="G490" s="92"/>
      <c r="H490" s="92"/>
      <c r="I490" s="92"/>
      <c r="J490" s="91"/>
      <c r="K490" s="91"/>
      <c r="L490" s="91"/>
      <c r="M490" s="91"/>
      <c r="N490" s="91"/>
      <c r="O490" s="91"/>
      <c r="P490" s="91"/>
      <c r="Q490" s="91"/>
      <c r="R490" s="91"/>
      <c r="S490" s="91"/>
      <c r="T490" s="91"/>
      <c r="U490" s="91"/>
      <c r="V490" s="91"/>
    </row>
    <row r="491" spans="1:22" ht="12" hidden="1" customHeight="1">
      <c r="A491" s="91"/>
      <c r="B491" s="91"/>
      <c r="C491" s="91"/>
      <c r="D491" s="91"/>
      <c r="E491" s="91"/>
      <c r="F491" s="92"/>
      <c r="G491" s="92"/>
      <c r="H491" s="92"/>
      <c r="I491" s="92"/>
      <c r="J491" s="91"/>
      <c r="K491" s="91"/>
      <c r="L491" s="91"/>
      <c r="M491" s="91"/>
      <c r="N491" s="91"/>
      <c r="O491" s="91"/>
      <c r="P491" s="91"/>
      <c r="Q491" s="91"/>
      <c r="R491" s="91"/>
      <c r="S491" s="91"/>
      <c r="T491" s="91"/>
      <c r="U491" s="91"/>
      <c r="V491" s="91"/>
    </row>
    <row r="492" spans="1:22" ht="12" hidden="1" customHeight="1">
      <c r="A492" s="91"/>
      <c r="B492" s="91"/>
      <c r="C492" s="91"/>
      <c r="D492" s="91"/>
      <c r="E492" s="91"/>
      <c r="F492" s="92"/>
      <c r="G492" s="92"/>
      <c r="H492" s="92"/>
      <c r="I492" s="92"/>
      <c r="J492" s="91"/>
      <c r="K492" s="91"/>
      <c r="L492" s="91"/>
      <c r="M492" s="91"/>
      <c r="N492" s="91"/>
      <c r="O492" s="91"/>
      <c r="P492" s="91"/>
      <c r="Q492" s="91"/>
      <c r="R492" s="91"/>
      <c r="S492" s="91"/>
      <c r="T492" s="91"/>
      <c r="U492" s="91"/>
      <c r="V492" s="91"/>
    </row>
    <row r="493" spans="1:22" ht="12" hidden="1" customHeight="1">
      <c r="A493" s="91"/>
      <c r="B493" s="91"/>
      <c r="C493" s="91"/>
      <c r="D493" s="91"/>
      <c r="E493" s="91"/>
      <c r="F493" s="92"/>
      <c r="G493" s="92"/>
      <c r="H493" s="92"/>
      <c r="I493" s="92"/>
      <c r="J493" s="91"/>
      <c r="K493" s="91"/>
      <c r="L493" s="91"/>
      <c r="M493" s="91"/>
      <c r="N493" s="91"/>
      <c r="O493" s="91"/>
      <c r="P493" s="91"/>
      <c r="Q493" s="91"/>
      <c r="R493" s="91"/>
      <c r="S493" s="91"/>
      <c r="T493" s="91"/>
      <c r="U493" s="91"/>
      <c r="V493" s="91"/>
    </row>
    <row r="494" spans="1:22" ht="12" hidden="1" customHeight="1">
      <c r="A494" s="91"/>
      <c r="B494" s="91"/>
      <c r="C494" s="91"/>
      <c r="D494" s="91"/>
      <c r="E494" s="91"/>
      <c r="F494" s="92"/>
      <c r="G494" s="92"/>
      <c r="H494" s="92"/>
      <c r="I494" s="92"/>
      <c r="J494" s="91"/>
      <c r="K494" s="91"/>
      <c r="L494" s="91"/>
      <c r="M494" s="91"/>
      <c r="N494" s="91"/>
      <c r="O494" s="91"/>
      <c r="P494" s="91"/>
      <c r="Q494" s="91"/>
      <c r="R494" s="91"/>
      <c r="S494" s="91"/>
      <c r="T494" s="91"/>
      <c r="U494" s="91"/>
      <c r="V494" s="91"/>
    </row>
    <row r="495" spans="1:22" ht="12" hidden="1" customHeight="1">
      <c r="A495" s="91"/>
      <c r="B495" s="91"/>
      <c r="C495" s="91"/>
      <c r="D495" s="91"/>
      <c r="E495" s="91"/>
      <c r="F495" s="92"/>
      <c r="G495" s="92"/>
      <c r="H495" s="92"/>
      <c r="I495" s="92"/>
      <c r="J495" s="91"/>
      <c r="K495" s="91"/>
      <c r="L495" s="91"/>
      <c r="M495" s="91"/>
      <c r="N495" s="91"/>
      <c r="O495" s="91"/>
      <c r="P495" s="91"/>
      <c r="Q495" s="91"/>
      <c r="R495" s="91"/>
      <c r="S495" s="91"/>
      <c r="T495" s="91"/>
      <c r="U495" s="91"/>
      <c r="V495" s="91"/>
    </row>
    <row r="496" spans="1:22" ht="12" hidden="1" customHeight="1">
      <c r="A496" s="91"/>
      <c r="B496" s="91"/>
      <c r="C496" s="91"/>
      <c r="D496" s="91"/>
      <c r="E496" s="91"/>
      <c r="F496" s="92"/>
      <c r="G496" s="92"/>
      <c r="H496" s="92"/>
      <c r="I496" s="92"/>
      <c r="J496" s="91"/>
      <c r="K496" s="91"/>
      <c r="L496" s="91"/>
      <c r="M496" s="91"/>
      <c r="N496" s="91"/>
      <c r="O496" s="91"/>
      <c r="P496" s="91"/>
      <c r="Q496" s="91"/>
      <c r="R496" s="91"/>
      <c r="S496" s="91"/>
      <c r="T496" s="91"/>
      <c r="U496" s="91"/>
      <c r="V496" s="91"/>
    </row>
    <row r="497" spans="1:22" ht="12" hidden="1" customHeight="1">
      <c r="A497" s="91"/>
      <c r="B497" s="91"/>
      <c r="C497" s="91"/>
      <c r="D497" s="91"/>
      <c r="E497" s="91"/>
      <c r="F497" s="92"/>
      <c r="G497" s="92"/>
      <c r="H497" s="92"/>
      <c r="I497" s="92"/>
      <c r="J497" s="91"/>
      <c r="K497" s="91"/>
      <c r="L497" s="91"/>
      <c r="M497" s="91"/>
      <c r="N497" s="91"/>
      <c r="O497" s="91"/>
      <c r="P497" s="91"/>
      <c r="Q497" s="91"/>
      <c r="R497" s="91"/>
      <c r="S497" s="91"/>
      <c r="T497" s="91"/>
      <c r="U497" s="91"/>
      <c r="V497" s="91"/>
    </row>
    <row r="498" spans="1:22" ht="12" hidden="1" customHeight="1">
      <c r="A498" s="91"/>
      <c r="B498" s="91"/>
      <c r="C498" s="91"/>
      <c r="D498" s="91"/>
      <c r="E498" s="91"/>
      <c r="F498" s="92"/>
      <c r="G498" s="92"/>
      <c r="H498" s="92"/>
      <c r="I498" s="92"/>
      <c r="J498" s="91"/>
      <c r="K498" s="91"/>
      <c r="L498" s="91"/>
      <c r="M498" s="91"/>
      <c r="N498" s="91"/>
      <c r="O498" s="91"/>
      <c r="P498" s="91"/>
      <c r="Q498" s="91"/>
      <c r="R498" s="91"/>
      <c r="S498" s="91"/>
      <c r="T498" s="91"/>
      <c r="U498" s="91"/>
      <c r="V498" s="91"/>
    </row>
    <row r="499" spans="1:22" ht="12" hidden="1" customHeight="1">
      <c r="A499" s="91"/>
      <c r="B499" s="91"/>
      <c r="C499" s="91"/>
      <c r="D499" s="91"/>
      <c r="E499" s="91"/>
      <c r="F499" s="92"/>
      <c r="G499" s="92"/>
      <c r="H499" s="92"/>
      <c r="I499" s="92"/>
      <c r="J499" s="91"/>
      <c r="K499" s="91"/>
      <c r="L499" s="91"/>
      <c r="M499" s="91"/>
      <c r="N499" s="91"/>
      <c r="O499" s="91"/>
      <c r="P499" s="91"/>
      <c r="Q499" s="91"/>
      <c r="R499" s="91"/>
      <c r="S499" s="91"/>
      <c r="T499" s="91"/>
      <c r="U499" s="91"/>
      <c r="V499" s="91"/>
    </row>
    <row r="500" spans="1:22" ht="12" hidden="1" customHeight="1">
      <c r="A500" s="91"/>
      <c r="B500" s="91"/>
      <c r="C500" s="91"/>
      <c r="D500" s="91"/>
      <c r="E500" s="91"/>
      <c r="F500" s="92"/>
      <c r="G500" s="92"/>
      <c r="H500" s="92"/>
      <c r="I500" s="92"/>
      <c r="J500" s="91"/>
      <c r="K500" s="91"/>
      <c r="L500" s="91"/>
      <c r="M500" s="91"/>
      <c r="N500" s="91"/>
      <c r="O500" s="91"/>
      <c r="P500" s="91"/>
      <c r="Q500" s="91"/>
      <c r="R500" s="91"/>
      <c r="S500" s="91"/>
      <c r="T500" s="91"/>
      <c r="U500" s="91"/>
      <c r="V500" s="91"/>
    </row>
    <row r="501" spans="1:22" ht="12" hidden="1" customHeight="1">
      <c r="A501" s="91"/>
      <c r="B501" s="91"/>
      <c r="C501" s="91"/>
      <c r="D501" s="91"/>
      <c r="E501" s="91"/>
      <c r="F501" s="92"/>
      <c r="G501" s="92"/>
      <c r="H501" s="92"/>
      <c r="I501" s="92"/>
      <c r="J501" s="91"/>
      <c r="K501" s="91"/>
      <c r="L501" s="91"/>
      <c r="M501" s="91"/>
      <c r="N501" s="91"/>
      <c r="O501" s="91"/>
      <c r="P501" s="91"/>
      <c r="Q501" s="91"/>
      <c r="R501" s="91"/>
      <c r="S501" s="91"/>
      <c r="T501" s="91"/>
      <c r="U501" s="91"/>
      <c r="V501" s="91"/>
    </row>
    <row r="502" spans="1:22" ht="12" hidden="1" customHeight="1">
      <c r="A502" s="91"/>
      <c r="B502" s="91"/>
      <c r="C502" s="91"/>
      <c r="D502" s="91"/>
      <c r="E502" s="91"/>
      <c r="F502" s="92"/>
      <c r="G502" s="92"/>
      <c r="H502" s="92"/>
      <c r="I502" s="92"/>
      <c r="J502" s="91"/>
      <c r="K502" s="91"/>
      <c r="L502" s="91"/>
      <c r="M502" s="91"/>
      <c r="N502" s="91"/>
      <c r="O502" s="91"/>
      <c r="P502" s="91"/>
      <c r="Q502" s="91"/>
      <c r="R502" s="91"/>
      <c r="S502" s="91"/>
      <c r="T502" s="91"/>
      <c r="U502" s="91"/>
      <c r="V502" s="91"/>
    </row>
    <row r="503" spans="1:22" ht="12" hidden="1" customHeight="1">
      <c r="A503" s="91"/>
      <c r="B503" s="91"/>
      <c r="C503" s="91"/>
      <c r="D503" s="91"/>
      <c r="E503" s="91"/>
      <c r="F503" s="92"/>
      <c r="G503" s="92"/>
      <c r="H503" s="92"/>
      <c r="I503" s="92"/>
      <c r="J503" s="91"/>
      <c r="K503" s="91"/>
      <c r="L503" s="91"/>
      <c r="M503" s="91"/>
      <c r="N503" s="91"/>
      <c r="O503" s="91"/>
      <c r="P503" s="91"/>
      <c r="Q503" s="91"/>
      <c r="R503" s="91"/>
      <c r="S503" s="91"/>
      <c r="T503" s="91"/>
      <c r="U503" s="91"/>
      <c r="V503" s="91"/>
    </row>
    <row r="504" spans="1:22" ht="12" hidden="1" customHeight="1">
      <c r="A504" s="91"/>
      <c r="B504" s="91"/>
      <c r="C504" s="91"/>
      <c r="D504" s="91"/>
      <c r="E504" s="91"/>
      <c r="F504" s="92"/>
      <c r="G504" s="92"/>
      <c r="H504" s="92"/>
      <c r="I504" s="92"/>
      <c r="J504" s="91"/>
      <c r="K504" s="91"/>
      <c r="L504" s="91"/>
      <c r="M504" s="91"/>
      <c r="N504" s="91"/>
      <c r="O504" s="91"/>
      <c r="P504" s="91"/>
      <c r="Q504" s="91"/>
      <c r="R504" s="91"/>
      <c r="S504" s="91"/>
      <c r="T504" s="91"/>
      <c r="U504" s="91"/>
      <c r="V504" s="91"/>
    </row>
    <row r="505" spans="1:22" ht="12" hidden="1" customHeight="1">
      <c r="A505" s="91"/>
      <c r="B505" s="91"/>
      <c r="C505" s="91"/>
      <c r="D505" s="91"/>
      <c r="E505" s="91"/>
      <c r="F505" s="92"/>
      <c r="G505" s="92"/>
      <c r="H505" s="92"/>
      <c r="I505" s="92"/>
      <c r="J505" s="91"/>
      <c r="K505" s="91"/>
      <c r="L505" s="91"/>
      <c r="M505" s="91"/>
      <c r="N505" s="91"/>
      <c r="O505" s="91"/>
      <c r="P505" s="91"/>
      <c r="Q505" s="91"/>
      <c r="R505" s="91"/>
      <c r="S505" s="91"/>
      <c r="T505" s="91"/>
      <c r="U505" s="91"/>
      <c r="V505" s="91"/>
    </row>
    <row r="506" spans="1:22" ht="12" hidden="1" customHeight="1">
      <c r="A506" s="91"/>
      <c r="B506" s="91"/>
      <c r="C506" s="91"/>
      <c r="D506" s="91"/>
      <c r="E506" s="91"/>
      <c r="F506" s="92"/>
      <c r="G506" s="92"/>
      <c r="H506" s="92"/>
      <c r="I506" s="92"/>
      <c r="J506" s="91"/>
      <c r="K506" s="91"/>
      <c r="L506" s="91"/>
      <c r="M506" s="91"/>
      <c r="N506" s="91"/>
      <c r="O506" s="91"/>
      <c r="P506" s="91"/>
      <c r="Q506" s="91"/>
      <c r="R506" s="91"/>
      <c r="S506" s="91"/>
      <c r="T506" s="91"/>
      <c r="U506" s="91"/>
      <c r="V506" s="91"/>
    </row>
    <row r="507" spans="1:22" ht="12" hidden="1" customHeight="1">
      <c r="A507" s="91"/>
      <c r="B507" s="91"/>
      <c r="C507" s="91"/>
      <c r="D507" s="91"/>
      <c r="E507" s="91"/>
      <c r="F507" s="92"/>
      <c r="G507" s="92"/>
      <c r="H507" s="92"/>
      <c r="I507" s="92"/>
      <c r="J507" s="91"/>
      <c r="K507" s="91"/>
      <c r="L507" s="91"/>
      <c r="M507" s="91"/>
      <c r="N507" s="91"/>
      <c r="O507" s="91"/>
      <c r="P507" s="91"/>
      <c r="Q507" s="91"/>
      <c r="R507" s="91"/>
      <c r="S507" s="91"/>
      <c r="T507" s="91"/>
      <c r="U507" s="91"/>
      <c r="V507" s="91"/>
    </row>
    <row r="508" spans="1:22" ht="12" hidden="1" customHeight="1">
      <c r="A508" s="91"/>
      <c r="B508" s="91"/>
      <c r="C508" s="91"/>
      <c r="D508" s="91"/>
      <c r="E508" s="91"/>
      <c r="F508" s="92"/>
      <c r="G508" s="92"/>
      <c r="H508" s="92"/>
      <c r="I508" s="92"/>
      <c r="J508" s="91"/>
      <c r="K508" s="91"/>
      <c r="L508" s="91"/>
      <c r="M508" s="91"/>
      <c r="N508" s="91"/>
      <c r="O508" s="91"/>
      <c r="P508" s="91"/>
      <c r="Q508" s="91"/>
      <c r="R508" s="91"/>
      <c r="S508" s="91"/>
      <c r="T508" s="91"/>
      <c r="U508" s="91"/>
      <c r="V508" s="91"/>
    </row>
    <row r="509" spans="1:22" ht="12" hidden="1" customHeight="1">
      <c r="A509" s="91"/>
      <c r="B509" s="91"/>
      <c r="C509" s="91"/>
      <c r="D509" s="91"/>
      <c r="E509" s="91"/>
      <c r="F509" s="92"/>
      <c r="G509" s="92"/>
      <c r="H509" s="92"/>
      <c r="I509" s="92"/>
      <c r="J509" s="91"/>
      <c r="K509" s="91"/>
      <c r="L509" s="91"/>
      <c r="M509" s="91"/>
      <c r="N509" s="91"/>
      <c r="O509" s="91"/>
      <c r="P509" s="91"/>
      <c r="Q509" s="91"/>
      <c r="R509" s="91"/>
      <c r="S509" s="91"/>
      <c r="T509" s="91"/>
      <c r="U509" s="91"/>
      <c r="V509" s="91"/>
    </row>
    <row r="510" spans="1:22" ht="12" hidden="1" customHeight="1">
      <c r="A510" s="91"/>
      <c r="B510" s="91"/>
      <c r="C510" s="91"/>
      <c r="D510" s="91"/>
      <c r="E510" s="91"/>
      <c r="F510" s="92"/>
      <c r="G510" s="92"/>
      <c r="H510" s="92"/>
      <c r="I510" s="92"/>
      <c r="J510" s="91"/>
      <c r="K510" s="91"/>
      <c r="L510" s="91"/>
      <c r="M510" s="91"/>
      <c r="N510" s="91"/>
      <c r="O510" s="91"/>
      <c r="P510" s="91"/>
      <c r="Q510" s="91"/>
      <c r="R510" s="91"/>
      <c r="S510" s="91"/>
      <c r="T510" s="91"/>
      <c r="U510" s="91"/>
      <c r="V510" s="91"/>
    </row>
    <row r="511" spans="1:22" ht="12" hidden="1" customHeight="1">
      <c r="A511" s="91"/>
      <c r="B511" s="91"/>
      <c r="C511" s="91"/>
      <c r="D511" s="91"/>
      <c r="E511" s="91"/>
      <c r="F511" s="92"/>
      <c r="G511" s="92"/>
      <c r="H511" s="92"/>
      <c r="I511" s="92"/>
      <c r="J511" s="91"/>
      <c r="K511" s="91"/>
      <c r="L511" s="91"/>
      <c r="M511" s="91"/>
      <c r="N511" s="91"/>
      <c r="O511" s="91"/>
      <c r="P511" s="91"/>
      <c r="Q511" s="91"/>
      <c r="R511" s="91"/>
      <c r="S511" s="91"/>
      <c r="T511" s="91"/>
      <c r="U511" s="91"/>
      <c r="V511" s="91"/>
    </row>
    <row r="512" spans="1:22" ht="12" hidden="1" customHeight="1">
      <c r="A512" s="91"/>
      <c r="B512" s="91"/>
      <c r="C512" s="91"/>
      <c r="D512" s="91"/>
      <c r="E512" s="91"/>
      <c r="F512" s="92"/>
      <c r="G512" s="92"/>
      <c r="H512" s="92"/>
      <c r="I512" s="92"/>
      <c r="J512" s="91"/>
      <c r="K512" s="91"/>
      <c r="L512" s="91"/>
      <c r="M512" s="91"/>
      <c r="N512" s="91"/>
      <c r="O512" s="91"/>
      <c r="P512" s="91"/>
      <c r="Q512" s="91"/>
      <c r="R512" s="91"/>
      <c r="S512" s="91"/>
      <c r="T512" s="91"/>
      <c r="U512" s="91"/>
      <c r="V512" s="91"/>
    </row>
    <row r="513" spans="1:22" ht="12" hidden="1" customHeight="1">
      <c r="A513" s="91"/>
      <c r="B513" s="91"/>
      <c r="C513" s="91"/>
      <c r="D513" s="91"/>
      <c r="E513" s="91"/>
      <c r="F513" s="92"/>
      <c r="G513" s="92"/>
      <c r="H513" s="92"/>
      <c r="I513" s="92"/>
      <c r="J513" s="91"/>
      <c r="K513" s="91"/>
      <c r="L513" s="91"/>
      <c r="M513" s="91"/>
      <c r="N513" s="91"/>
      <c r="O513" s="91"/>
      <c r="P513" s="91"/>
      <c r="Q513" s="91"/>
      <c r="R513" s="91"/>
      <c r="S513" s="91"/>
      <c r="T513" s="91"/>
      <c r="U513" s="91"/>
      <c r="V513" s="91"/>
    </row>
    <row r="514" spans="1:22" ht="12" hidden="1" customHeight="1">
      <c r="A514" s="91"/>
      <c r="B514" s="91"/>
      <c r="C514" s="91"/>
      <c r="D514" s="91"/>
      <c r="E514" s="91"/>
      <c r="F514" s="92"/>
      <c r="G514" s="92"/>
      <c r="H514" s="92"/>
      <c r="I514" s="92"/>
      <c r="J514" s="91"/>
      <c r="K514" s="91"/>
      <c r="L514" s="91"/>
      <c r="M514" s="91"/>
      <c r="N514" s="91"/>
      <c r="O514" s="91"/>
      <c r="P514" s="91"/>
      <c r="Q514" s="91"/>
      <c r="R514" s="91"/>
      <c r="S514" s="91"/>
      <c r="T514" s="91"/>
      <c r="U514" s="91"/>
      <c r="V514" s="91"/>
    </row>
    <row r="515" spans="1:22" ht="12" hidden="1" customHeight="1">
      <c r="A515" s="91"/>
      <c r="B515" s="91"/>
      <c r="C515" s="91"/>
      <c r="D515" s="91"/>
      <c r="E515" s="91"/>
      <c r="F515" s="92"/>
      <c r="G515" s="92"/>
      <c r="H515" s="92"/>
      <c r="I515" s="92"/>
      <c r="J515" s="91"/>
      <c r="K515" s="91"/>
      <c r="L515" s="91"/>
      <c r="M515" s="91"/>
      <c r="N515" s="91"/>
      <c r="O515" s="91"/>
      <c r="P515" s="91"/>
      <c r="Q515" s="91"/>
      <c r="R515" s="91"/>
      <c r="S515" s="91"/>
      <c r="T515" s="91"/>
      <c r="U515" s="91"/>
      <c r="V515" s="91"/>
    </row>
    <row r="516" spans="1:22" ht="12" hidden="1" customHeight="1">
      <c r="A516" s="91"/>
      <c r="B516" s="91"/>
      <c r="C516" s="91"/>
      <c r="D516" s="91"/>
      <c r="E516" s="91"/>
      <c r="F516" s="92"/>
      <c r="G516" s="92"/>
      <c r="H516" s="92"/>
      <c r="I516" s="92"/>
      <c r="J516" s="91"/>
      <c r="K516" s="91"/>
      <c r="L516" s="91"/>
      <c r="M516" s="91"/>
      <c r="N516" s="91"/>
      <c r="O516" s="91"/>
      <c r="P516" s="91"/>
      <c r="Q516" s="91"/>
      <c r="R516" s="91"/>
      <c r="S516" s="91"/>
      <c r="T516" s="91"/>
      <c r="U516" s="91"/>
      <c r="V516" s="91"/>
    </row>
    <row r="517" spans="1:22" ht="12" hidden="1" customHeight="1">
      <c r="A517" s="91"/>
      <c r="B517" s="91"/>
      <c r="C517" s="91"/>
      <c r="D517" s="91"/>
      <c r="E517" s="91"/>
      <c r="F517" s="92"/>
      <c r="G517" s="92"/>
      <c r="H517" s="92"/>
      <c r="I517" s="92"/>
      <c r="J517" s="91"/>
      <c r="K517" s="91"/>
      <c r="L517" s="91"/>
      <c r="M517" s="91"/>
      <c r="N517" s="91"/>
      <c r="O517" s="91"/>
      <c r="P517" s="91"/>
      <c r="Q517" s="91"/>
      <c r="R517" s="91"/>
      <c r="S517" s="91"/>
      <c r="T517" s="91"/>
      <c r="U517" s="91"/>
      <c r="V517" s="91"/>
    </row>
    <row r="518" spans="1:22" ht="12" hidden="1" customHeight="1">
      <c r="A518" s="91"/>
      <c r="B518" s="91"/>
      <c r="C518" s="91"/>
      <c r="D518" s="91"/>
      <c r="E518" s="91"/>
      <c r="F518" s="92"/>
      <c r="G518" s="92"/>
      <c r="H518" s="92"/>
      <c r="I518" s="92"/>
      <c r="J518" s="91"/>
      <c r="K518" s="91"/>
      <c r="L518" s="91"/>
      <c r="M518" s="91"/>
      <c r="N518" s="91"/>
      <c r="O518" s="91"/>
      <c r="P518" s="91"/>
      <c r="Q518" s="91"/>
      <c r="R518" s="91"/>
      <c r="S518" s="91"/>
      <c r="T518" s="91"/>
      <c r="U518" s="91"/>
      <c r="V518" s="91"/>
    </row>
    <row r="519" spans="1:22" ht="12" hidden="1" customHeight="1">
      <c r="A519" s="91"/>
      <c r="B519" s="91"/>
      <c r="C519" s="91"/>
      <c r="D519" s="91"/>
      <c r="E519" s="91"/>
      <c r="F519" s="92"/>
      <c r="G519" s="92"/>
      <c r="H519" s="92"/>
      <c r="I519" s="92"/>
      <c r="J519" s="91"/>
      <c r="K519" s="91"/>
      <c r="L519" s="91"/>
      <c r="M519" s="91"/>
      <c r="N519" s="91"/>
      <c r="O519" s="91"/>
      <c r="P519" s="91"/>
      <c r="Q519" s="91"/>
      <c r="R519" s="91"/>
      <c r="S519" s="91"/>
      <c r="T519" s="91"/>
      <c r="U519" s="91"/>
      <c r="V519" s="91"/>
    </row>
    <row r="520" spans="1:22" ht="12" hidden="1" customHeight="1">
      <c r="A520" s="91"/>
      <c r="B520" s="91"/>
      <c r="C520" s="91"/>
      <c r="D520" s="91"/>
      <c r="E520" s="91"/>
      <c r="F520" s="92"/>
      <c r="G520" s="92"/>
      <c r="H520" s="92"/>
      <c r="I520" s="92"/>
      <c r="J520" s="91"/>
      <c r="K520" s="91"/>
      <c r="L520" s="91"/>
      <c r="M520" s="91"/>
      <c r="N520" s="91"/>
      <c r="O520" s="91"/>
      <c r="P520" s="91"/>
      <c r="Q520" s="91"/>
      <c r="R520" s="91"/>
      <c r="S520" s="91"/>
      <c r="T520" s="91"/>
      <c r="U520" s="91"/>
      <c r="V520" s="91"/>
    </row>
    <row r="521" spans="1:22" ht="12" hidden="1" customHeight="1">
      <c r="A521" s="91"/>
      <c r="B521" s="91"/>
      <c r="C521" s="91"/>
      <c r="D521" s="91"/>
      <c r="E521" s="91"/>
      <c r="F521" s="92"/>
      <c r="G521" s="92"/>
      <c r="H521" s="92"/>
      <c r="I521" s="92"/>
      <c r="J521" s="91"/>
      <c r="K521" s="91"/>
      <c r="L521" s="91"/>
      <c r="M521" s="91"/>
      <c r="N521" s="91"/>
      <c r="O521" s="91"/>
      <c r="P521" s="91"/>
      <c r="Q521" s="91"/>
      <c r="R521" s="91"/>
      <c r="S521" s="91"/>
      <c r="T521" s="91"/>
      <c r="U521" s="91"/>
      <c r="V521" s="91"/>
    </row>
    <row r="522" spans="1:22" ht="12" hidden="1" customHeight="1">
      <c r="A522" s="91"/>
      <c r="B522" s="91"/>
      <c r="C522" s="91"/>
      <c r="D522" s="91"/>
      <c r="E522" s="91"/>
      <c r="F522" s="92"/>
      <c r="G522" s="92"/>
      <c r="H522" s="92"/>
      <c r="I522" s="92"/>
      <c r="J522" s="91"/>
      <c r="K522" s="91"/>
      <c r="L522" s="91"/>
      <c r="M522" s="91"/>
      <c r="N522" s="91"/>
      <c r="O522" s="91"/>
      <c r="P522" s="91"/>
      <c r="Q522" s="91"/>
      <c r="R522" s="91"/>
      <c r="S522" s="91"/>
      <c r="T522" s="91"/>
      <c r="U522" s="91"/>
      <c r="V522" s="91"/>
    </row>
    <row r="523" spans="1:22" ht="12" hidden="1" customHeight="1">
      <c r="A523" s="91"/>
      <c r="B523" s="91"/>
      <c r="C523" s="91"/>
      <c r="D523" s="91"/>
      <c r="E523" s="91"/>
      <c r="F523" s="92"/>
      <c r="G523" s="92"/>
      <c r="H523" s="92"/>
      <c r="I523" s="92"/>
      <c r="J523" s="91"/>
      <c r="K523" s="91"/>
      <c r="L523" s="91"/>
      <c r="M523" s="91"/>
      <c r="N523" s="91"/>
      <c r="O523" s="91"/>
      <c r="P523" s="91"/>
      <c r="Q523" s="91"/>
      <c r="R523" s="91"/>
      <c r="S523" s="91"/>
      <c r="T523" s="91"/>
      <c r="U523" s="91"/>
      <c r="V523" s="91"/>
    </row>
    <row r="524" spans="1:22" ht="12" hidden="1" customHeight="1">
      <c r="A524" s="91"/>
      <c r="B524" s="91"/>
      <c r="C524" s="91"/>
      <c r="D524" s="91"/>
      <c r="E524" s="91"/>
      <c r="F524" s="92"/>
      <c r="G524" s="92"/>
      <c r="H524" s="92"/>
      <c r="I524" s="92"/>
      <c r="J524" s="91"/>
      <c r="K524" s="91"/>
      <c r="L524" s="91"/>
      <c r="M524" s="91"/>
      <c r="N524" s="91"/>
      <c r="O524" s="91"/>
      <c r="P524" s="91"/>
      <c r="Q524" s="91"/>
      <c r="R524" s="91"/>
      <c r="S524" s="91"/>
      <c r="T524" s="91"/>
      <c r="U524" s="91"/>
      <c r="V524" s="91"/>
    </row>
    <row r="525" spans="1:22" ht="12" hidden="1" customHeight="1">
      <c r="A525" s="91"/>
      <c r="B525" s="91"/>
      <c r="C525" s="91"/>
      <c r="D525" s="91"/>
      <c r="E525" s="91"/>
      <c r="F525" s="92"/>
      <c r="G525" s="92"/>
      <c r="H525" s="92"/>
      <c r="I525" s="92"/>
      <c r="J525" s="91"/>
      <c r="K525" s="91"/>
      <c r="L525" s="91"/>
      <c r="M525" s="91"/>
      <c r="N525" s="91"/>
      <c r="O525" s="91"/>
      <c r="P525" s="91"/>
      <c r="Q525" s="91"/>
      <c r="R525" s="91"/>
      <c r="S525" s="91"/>
      <c r="T525" s="91"/>
      <c r="U525" s="91"/>
      <c r="V525" s="91"/>
    </row>
    <row r="526" spans="1:22" ht="12" hidden="1" customHeight="1">
      <c r="A526" s="91"/>
      <c r="B526" s="91"/>
      <c r="C526" s="91"/>
      <c r="D526" s="91"/>
      <c r="E526" s="91"/>
      <c r="F526" s="92"/>
      <c r="G526" s="92"/>
      <c r="H526" s="92"/>
      <c r="I526" s="92"/>
      <c r="J526" s="91"/>
      <c r="K526" s="91"/>
      <c r="L526" s="91"/>
      <c r="M526" s="91"/>
      <c r="N526" s="91"/>
      <c r="O526" s="91"/>
      <c r="P526" s="91"/>
      <c r="Q526" s="91"/>
      <c r="R526" s="91"/>
      <c r="S526" s="91"/>
      <c r="T526" s="91"/>
      <c r="U526" s="91"/>
      <c r="V526" s="91"/>
    </row>
    <row r="527" spans="1:22" ht="12" hidden="1" customHeight="1">
      <c r="A527" s="91"/>
      <c r="B527" s="91"/>
      <c r="C527" s="91"/>
      <c r="D527" s="91"/>
      <c r="E527" s="91"/>
      <c r="F527" s="92"/>
      <c r="G527" s="92"/>
      <c r="H527" s="92"/>
      <c r="I527" s="92"/>
      <c r="J527" s="91"/>
      <c r="K527" s="91"/>
      <c r="L527" s="91"/>
      <c r="M527" s="91"/>
      <c r="N527" s="91"/>
      <c r="O527" s="91"/>
      <c r="P527" s="91"/>
      <c r="Q527" s="91"/>
      <c r="R527" s="91"/>
      <c r="S527" s="91"/>
      <c r="T527" s="91"/>
      <c r="U527" s="91"/>
      <c r="V527" s="91"/>
    </row>
    <row r="528" spans="1:22" ht="12" hidden="1" customHeight="1">
      <c r="A528" s="91"/>
      <c r="B528" s="91"/>
      <c r="C528" s="91"/>
      <c r="D528" s="91"/>
      <c r="E528" s="91"/>
      <c r="F528" s="92"/>
      <c r="G528" s="92"/>
      <c r="H528" s="92"/>
      <c r="I528" s="92"/>
      <c r="J528" s="91"/>
      <c r="K528" s="91"/>
      <c r="L528" s="91"/>
      <c r="M528" s="91"/>
      <c r="N528" s="91"/>
      <c r="O528" s="91"/>
      <c r="P528" s="91"/>
      <c r="Q528" s="91"/>
      <c r="R528" s="91"/>
      <c r="S528" s="91"/>
      <c r="T528" s="91"/>
      <c r="U528" s="91"/>
      <c r="V528" s="91"/>
    </row>
    <row r="529" spans="1:22" ht="12" hidden="1" customHeight="1">
      <c r="A529" s="91"/>
      <c r="B529" s="91"/>
      <c r="C529" s="91"/>
      <c r="D529" s="91"/>
      <c r="E529" s="91"/>
      <c r="F529" s="92"/>
      <c r="G529" s="92"/>
      <c r="H529" s="92"/>
      <c r="I529" s="92"/>
      <c r="J529" s="91"/>
      <c r="K529" s="91"/>
      <c r="L529" s="91"/>
      <c r="M529" s="91"/>
      <c r="N529" s="91"/>
      <c r="O529" s="91"/>
      <c r="P529" s="91"/>
      <c r="Q529" s="91"/>
      <c r="R529" s="91"/>
      <c r="S529" s="91"/>
      <c r="T529" s="91"/>
      <c r="U529" s="91"/>
      <c r="V529" s="91"/>
    </row>
    <row r="530" spans="1:22" ht="12" hidden="1" customHeight="1">
      <c r="A530" s="91"/>
      <c r="B530" s="91"/>
      <c r="C530" s="91"/>
      <c r="D530" s="91"/>
      <c r="E530" s="91"/>
      <c r="F530" s="92"/>
      <c r="G530" s="92"/>
      <c r="H530" s="92"/>
      <c r="I530" s="92"/>
      <c r="J530" s="91"/>
      <c r="K530" s="91"/>
      <c r="L530" s="91"/>
      <c r="M530" s="91"/>
      <c r="N530" s="91"/>
      <c r="O530" s="91"/>
      <c r="P530" s="91"/>
      <c r="Q530" s="91"/>
      <c r="R530" s="91"/>
      <c r="S530" s="91"/>
      <c r="T530" s="91"/>
      <c r="U530" s="91"/>
      <c r="V530" s="91"/>
    </row>
    <row r="531" spans="1:22" ht="12" hidden="1" customHeight="1">
      <c r="A531" s="91"/>
      <c r="B531" s="91"/>
      <c r="C531" s="91"/>
      <c r="D531" s="91"/>
      <c r="E531" s="91"/>
      <c r="F531" s="92"/>
      <c r="G531" s="92"/>
      <c r="H531" s="92"/>
      <c r="I531" s="92"/>
      <c r="J531" s="91"/>
      <c r="K531" s="91"/>
      <c r="L531" s="91"/>
      <c r="M531" s="91"/>
      <c r="N531" s="91"/>
      <c r="O531" s="91"/>
      <c r="P531" s="91"/>
      <c r="Q531" s="91"/>
      <c r="R531" s="91"/>
      <c r="S531" s="91"/>
      <c r="T531" s="91"/>
      <c r="U531" s="91"/>
      <c r="V531" s="91"/>
    </row>
    <row r="532" spans="1:22" ht="12" hidden="1" customHeight="1">
      <c r="A532" s="91"/>
      <c r="B532" s="91"/>
      <c r="C532" s="91"/>
      <c r="D532" s="91"/>
      <c r="E532" s="91"/>
      <c r="F532" s="92"/>
      <c r="G532" s="92"/>
      <c r="H532" s="92"/>
      <c r="I532" s="92"/>
      <c r="J532" s="91"/>
      <c r="K532" s="91"/>
      <c r="L532" s="91"/>
      <c r="M532" s="91"/>
      <c r="N532" s="91"/>
      <c r="O532" s="91"/>
      <c r="P532" s="91"/>
      <c r="Q532" s="91"/>
      <c r="R532" s="91"/>
      <c r="S532" s="91"/>
      <c r="T532" s="91"/>
      <c r="U532" s="91"/>
      <c r="V532" s="91"/>
    </row>
    <row r="533" spans="1:22" ht="12" hidden="1" customHeight="1">
      <c r="A533" s="91"/>
      <c r="B533" s="91"/>
      <c r="C533" s="91"/>
      <c r="D533" s="91"/>
      <c r="E533" s="91"/>
      <c r="F533" s="92"/>
      <c r="G533" s="92"/>
      <c r="H533" s="92"/>
      <c r="I533" s="92"/>
      <c r="J533" s="91"/>
      <c r="K533" s="91"/>
      <c r="L533" s="91"/>
      <c r="M533" s="91"/>
      <c r="N533" s="91"/>
      <c r="O533" s="91"/>
      <c r="P533" s="91"/>
      <c r="Q533" s="91"/>
      <c r="R533" s="91"/>
      <c r="S533" s="91"/>
      <c r="T533" s="91"/>
      <c r="U533" s="91"/>
      <c r="V533" s="91"/>
    </row>
    <row r="534" spans="1:22" ht="12" hidden="1" customHeight="1">
      <c r="A534" s="91"/>
      <c r="B534" s="91"/>
      <c r="C534" s="91"/>
      <c r="D534" s="91"/>
      <c r="E534" s="91"/>
      <c r="F534" s="92"/>
      <c r="G534" s="92"/>
      <c r="H534" s="92"/>
      <c r="I534" s="92"/>
      <c r="J534" s="91"/>
      <c r="K534" s="91"/>
      <c r="L534" s="91"/>
      <c r="M534" s="91"/>
      <c r="N534" s="91"/>
      <c r="O534" s="91"/>
      <c r="P534" s="91"/>
      <c r="Q534" s="91"/>
      <c r="R534" s="91"/>
      <c r="S534" s="91"/>
      <c r="T534" s="91"/>
      <c r="U534" s="91"/>
      <c r="V534" s="91"/>
    </row>
    <row r="535" spans="1:22" ht="12" hidden="1" customHeight="1">
      <c r="A535" s="91"/>
      <c r="B535" s="91"/>
      <c r="C535" s="91"/>
      <c r="D535" s="91"/>
      <c r="E535" s="91"/>
      <c r="F535" s="92"/>
      <c r="G535" s="92"/>
      <c r="H535" s="92"/>
      <c r="I535" s="92"/>
      <c r="J535" s="91"/>
      <c r="K535" s="91"/>
      <c r="L535" s="91"/>
      <c r="M535" s="91"/>
      <c r="N535" s="91"/>
      <c r="O535" s="91"/>
      <c r="P535" s="91"/>
      <c r="Q535" s="91"/>
      <c r="R535" s="91"/>
      <c r="S535" s="91"/>
      <c r="T535" s="91"/>
      <c r="U535" s="91"/>
      <c r="V535" s="91"/>
    </row>
    <row r="536" spans="1:22" ht="12" hidden="1" customHeight="1">
      <c r="A536" s="91"/>
      <c r="B536" s="91"/>
      <c r="C536" s="91"/>
      <c r="D536" s="91"/>
      <c r="E536" s="91"/>
      <c r="F536" s="92"/>
      <c r="G536" s="92"/>
      <c r="H536" s="92"/>
      <c r="I536" s="92"/>
      <c r="J536" s="91"/>
      <c r="K536" s="91"/>
      <c r="L536" s="91"/>
      <c r="M536" s="91"/>
      <c r="N536" s="91"/>
      <c r="O536" s="91"/>
      <c r="P536" s="91"/>
      <c r="Q536" s="91"/>
      <c r="R536" s="91"/>
      <c r="S536" s="91"/>
      <c r="T536" s="91"/>
      <c r="U536" s="91"/>
      <c r="V536" s="91"/>
    </row>
    <row r="537" spans="1:22" ht="12" hidden="1" customHeight="1">
      <c r="A537" s="91"/>
      <c r="B537" s="91"/>
      <c r="C537" s="91"/>
      <c r="D537" s="91"/>
      <c r="E537" s="91"/>
      <c r="F537" s="92"/>
      <c r="G537" s="92"/>
      <c r="H537" s="92"/>
      <c r="I537" s="92"/>
      <c r="J537" s="91"/>
      <c r="K537" s="91"/>
      <c r="L537" s="91"/>
      <c r="M537" s="91"/>
      <c r="N537" s="91"/>
      <c r="O537" s="91"/>
      <c r="P537" s="91"/>
      <c r="Q537" s="91"/>
      <c r="R537" s="91"/>
      <c r="S537" s="91"/>
      <c r="T537" s="91"/>
      <c r="U537" s="91"/>
      <c r="V537" s="91"/>
    </row>
    <row r="538" spans="1:22" ht="12" hidden="1" customHeight="1">
      <c r="A538" s="91"/>
      <c r="B538" s="91"/>
      <c r="C538" s="91"/>
      <c r="D538" s="91"/>
      <c r="E538" s="91"/>
      <c r="F538" s="92"/>
      <c r="G538" s="92"/>
      <c r="H538" s="92"/>
      <c r="I538" s="92"/>
      <c r="J538" s="91"/>
      <c r="K538" s="91"/>
      <c r="L538" s="91"/>
      <c r="M538" s="91"/>
      <c r="N538" s="91"/>
      <c r="O538" s="91"/>
      <c r="P538" s="91"/>
      <c r="Q538" s="91"/>
      <c r="R538" s="91"/>
      <c r="S538" s="91"/>
      <c r="T538" s="91"/>
      <c r="U538" s="91"/>
      <c r="V538" s="91"/>
    </row>
    <row r="539" spans="1:22" ht="12" hidden="1" customHeight="1">
      <c r="A539" s="91"/>
      <c r="B539" s="91"/>
      <c r="C539" s="91"/>
      <c r="D539" s="91"/>
      <c r="E539" s="91"/>
      <c r="F539" s="92"/>
      <c r="G539" s="92"/>
      <c r="H539" s="92"/>
      <c r="I539" s="92"/>
      <c r="J539" s="91"/>
      <c r="K539" s="91"/>
      <c r="L539" s="91"/>
      <c r="M539" s="91"/>
      <c r="N539" s="91"/>
      <c r="O539" s="91"/>
      <c r="P539" s="91"/>
      <c r="Q539" s="91"/>
      <c r="R539" s="91"/>
      <c r="S539" s="91"/>
      <c r="T539" s="91"/>
      <c r="U539" s="91"/>
      <c r="V539" s="91"/>
    </row>
    <row r="540" spans="1:22" ht="12" hidden="1" customHeight="1">
      <c r="A540" s="91"/>
      <c r="B540" s="91"/>
      <c r="C540" s="91"/>
      <c r="D540" s="91"/>
      <c r="E540" s="91"/>
      <c r="F540" s="92"/>
      <c r="G540" s="92"/>
      <c r="H540" s="92"/>
      <c r="I540" s="92"/>
      <c r="J540" s="91"/>
      <c r="K540" s="91"/>
      <c r="L540" s="91"/>
      <c r="M540" s="91"/>
      <c r="N540" s="91"/>
      <c r="O540" s="91"/>
      <c r="P540" s="91"/>
      <c r="Q540" s="91"/>
      <c r="R540" s="91"/>
      <c r="S540" s="91"/>
      <c r="T540" s="91"/>
      <c r="U540" s="91"/>
      <c r="V540" s="91"/>
    </row>
    <row r="541" spans="1:22" ht="12" hidden="1" customHeight="1">
      <c r="A541" s="91"/>
      <c r="B541" s="91"/>
      <c r="C541" s="91"/>
      <c r="D541" s="91"/>
      <c r="E541" s="91"/>
      <c r="F541" s="92"/>
      <c r="G541" s="92"/>
      <c r="H541" s="92"/>
      <c r="I541" s="92"/>
      <c r="J541" s="91"/>
      <c r="K541" s="91"/>
      <c r="L541" s="91"/>
      <c r="M541" s="91"/>
      <c r="N541" s="91"/>
      <c r="O541" s="91"/>
      <c r="P541" s="91"/>
      <c r="Q541" s="91"/>
      <c r="R541" s="91"/>
      <c r="S541" s="91"/>
      <c r="T541" s="91"/>
      <c r="U541" s="91"/>
      <c r="V541" s="91"/>
    </row>
    <row r="542" spans="1:22" ht="12" hidden="1" customHeight="1">
      <c r="A542" s="91"/>
      <c r="B542" s="91"/>
      <c r="C542" s="91"/>
      <c r="D542" s="91"/>
      <c r="E542" s="91"/>
      <c r="F542" s="92"/>
      <c r="G542" s="92"/>
      <c r="H542" s="92"/>
      <c r="I542" s="92"/>
      <c r="J542" s="91"/>
      <c r="K542" s="91"/>
      <c r="L542" s="91"/>
      <c r="M542" s="91"/>
      <c r="N542" s="91"/>
      <c r="O542" s="91"/>
      <c r="P542" s="91"/>
      <c r="Q542" s="91"/>
      <c r="R542" s="91"/>
      <c r="S542" s="91"/>
      <c r="T542" s="91"/>
      <c r="U542" s="91"/>
      <c r="V542" s="91"/>
    </row>
    <row r="543" spans="1:22" ht="12" hidden="1" customHeight="1">
      <c r="A543" s="91"/>
      <c r="B543" s="91"/>
      <c r="C543" s="91"/>
      <c r="D543" s="91"/>
      <c r="E543" s="91"/>
      <c r="F543" s="92"/>
      <c r="G543" s="92"/>
      <c r="H543" s="92"/>
      <c r="I543" s="92"/>
      <c r="J543" s="91"/>
      <c r="K543" s="91"/>
      <c r="L543" s="91"/>
      <c r="M543" s="91"/>
      <c r="N543" s="91"/>
      <c r="O543" s="91"/>
      <c r="P543" s="91"/>
      <c r="Q543" s="91"/>
      <c r="R543" s="91"/>
      <c r="S543" s="91"/>
      <c r="T543" s="91"/>
      <c r="U543" s="91"/>
      <c r="V543" s="91"/>
    </row>
    <row r="544" spans="1:22" ht="12" hidden="1" customHeight="1">
      <c r="A544" s="91"/>
      <c r="B544" s="91"/>
      <c r="C544" s="91"/>
      <c r="D544" s="91"/>
      <c r="E544" s="91"/>
      <c r="F544" s="92"/>
      <c r="G544" s="92"/>
      <c r="H544" s="92"/>
      <c r="I544" s="92"/>
      <c r="J544" s="91"/>
      <c r="K544" s="91"/>
      <c r="L544" s="91"/>
      <c r="M544" s="91"/>
      <c r="N544" s="91"/>
      <c r="O544" s="91"/>
      <c r="P544" s="91"/>
      <c r="Q544" s="91"/>
      <c r="R544" s="91"/>
      <c r="S544" s="91"/>
      <c r="T544" s="91"/>
      <c r="U544" s="91"/>
      <c r="V544" s="91"/>
    </row>
    <row r="545" spans="1:22" ht="12" hidden="1" customHeight="1">
      <c r="A545" s="91"/>
      <c r="B545" s="91"/>
      <c r="C545" s="91"/>
      <c r="D545" s="91"/>
      <c r="E545" s="91"/>
      <c r="F545" s="92"/>
      <c r="G545" s="92"/>
      <c r="H545" s="92"/>
      <c r="I545" s="92"/>
      <c r="J545" s="91"/>
      <c r="K545" s="91"/>
      <c r="L545" s="91"/>
      <c r="M545" s="91"/>
      <c r="N545" s="91"/>
      <c r="O545" s="91"/>
      <c r="P545" s="91"/>
      <c r="Q545" s="91"/>
      <c r="R545" s="91"/>
      <c r="S545" s="91"/>
      <c r="T545" s="91"/>
      <c r="U545" s="91"/>
      <c r="V545" s="91"/>
    </row>
    <row r="546" spans="1:22" ht="12" hidden="1" customHeight="1">
      <c r="A546" s="91"/>
      <c r="B546" s="91"/>
      <c r="C546" s="91"/>
      <c r="D546" s="91"/>
      <c r="E546" s="91"/>
      <c r="F546" s="92"/>
      <c r="G546" s="92"/>
      <c r="H546" s="92"/>
      <c r="I546" s="92"/>
      <c r="J546" s="91"/>
      <c r="K546" s="91"/>
      <c r="L546" s="91"/>
      <c r="M546" s="91"/>
      <c r="N546" s="91"/>
      <c r="O546" s="91"/>
      <c r="P546" s="91"/>
      <c r="Q546" s="91"/>
      <c r="R546" s="91"/>
      <c r="S546" s="91"/>
      <c r="T546" s="91"/>
      <c r="U546" s="91"/>
      <c r="V546" s="91"/>
    </row>
    <row r="547" spans="1:22" ht="12" hidden="1" customHeight="1">
      <c r="A547" s="91"/>
      <c r="B547" s="91"/>
      <c r="C547" s="91"/>
      <c r="D547" s="91"/>
      <c r="E547" s="91"/>
      <c r="F547" s="92"/>
      <c r="G547" s="92"/>
      <c r="H547" s="92"/>
      <c r="I547" s="92"/>
      <c r="J547" s="91"/>
      <c r="K547" s="91"/>
      <c r="L547" s="91"/>
      <c r="M547" s="91"/>
      <c r="N547" s="91"/>
      <c r="O547" s="91"/>
      <c r="P547" s="91"/>
      <c r="Q547" s="91"/>
      <c r="R547" s="91"/>
      <c r="S547" s="91"/>
      <c r="T547" s="91"/>
      <c r="U547" s="91"/>
      <c r="V547" s="91"/>
    </row>
    <row r="548" spans="1:22" ht="12" hidden="1" customHeight="1">
      <c r="A548" s="91"/>
      <c r="B548" s="91"/>
      <c r="C548" s="91"/>
      <c r="D548" s="91"/>
      <c r="E548" s="91"/>
      <c r="F548" s="92"/>
      <c r="G548" s="92"/>
      <c r="H548" s="92"/>
      <c r="I548" s="92"/>
      <c r="J548" s="91"/>
      <c r="K548" s="91"/>
      <c r="L548" s="91"/>
      <c r="M548" s="91"/>
      <c r="N548" s="91"/>
      <c r="O548" s="91"/>
      <c r="P548" s="91"/>
      <c r="Q548" s="91"/>
      <c r="R548" s="91"/>
      <c r="S548" s="91"/>
      <c r="T548" s="91"/>
      <c r="U548" s="91"/>
      <c r="V548" s="91"/>
    </row>
    <row r="549" spans="1:22" ht="12" hidden="1" customHeight="1">
      <c r="A549" s="91"/>
      <c r="B549" s="91"/>
      <c r="C549" s="91"/>
      <c r="D549" s="91"/>
      <c r="E549" s="91"/>
      <c r="F549" s="92"/>
      <c r="G549" s="92"/>
      <c r="H549" s="92"/>
      <c r="I549" s="92"/>
      <c r="J549" s="91"/>
      <c r="K549" s="91"/>
      <c r="L549" s="91"/>
      <c r="M549" s="91"/>
      <c r="N549" s="91"/>
      <c r="O549" s="91"/>
      <c r="P549" s="91"/>
      <c r="Q549" s="91"/>
      <c r="R549" s="91"/>
      <c r="S549" s="91"/>
      <c r="T549" s="91"/>
      <c r="U549" s="91"/>
      <c r="V549" s="91"/>
    </row>
    <row r="550" spans="1:22" ht="12" hidden="1" customHeight="1">
      <c r="A550" s="91"/>
      <c r="B550" s="91"/>
      <c r="C550" s="91"/>
      <c r="D550" s="91"/>
      <c r="E550" s="91"/>
      <c r="F550" s="92"/>
      <c r="G550" s="92"/>
      <c r="H550" s="92"/>
      <c r="I550" s="92"/>
      <c r="J550" s="91"/>
      <c r="K550" s="91"/>
      <c r="L550" s="91"/>
      <c r="M550" s="91"/>
      <c r="N550" s="91"/>
      <c r="O550" s="91"/>
      <c r="P550" s="91"/>
      <c r="Q550" s="91"/>
      <c r="R550" s="91"/>
      <c r="S550" s="91"/>
      <c r="T550" s="91"/>
      <c r="U550" s="91"/>
      <c r="V550" s="91"/>
    </row>
    <row r="551" spans="1:22" ht="12" hidden="1" customHeight="1">
      <c r="A551" s="91"/>
      <c r="B551" s="91"/>
      <c r="C551" s="91"/>
      <c r="D551" s="91"/>
      <c r="E551" s="91"/>
      <c r="F551" s="92"/>
      <c r="G551" s="92"/>
      <c r="H551" s="92"/>
      <c r="I551" s="92"/>
      <c r="J551" s="91"/>
      <c r="K551" s="91"/>
      <c r="L551" s="91"/>
      <c r="M551" s="91"/>
      <c r="N551" s="91"/>
      <c r="O551" s="91"/>
      <c r="P551" s="91"/>
      <c r="Q551" s="91"/>
      <c r="R551" s="91"/>
      <c r="S551" s="91"/>
      <c r="T551" s="91"/>
      <c r="U551" s="91"/>
      <c r="V551" s="91"/>
    </row>
    <row r="552" spans="1:22" ht="12" hidden="1" customHeight="1">
      <c r="A552" s="91"/>
      <c r="B552" s="91"/>
      <c r="C552" s="91"/>
      <c r="D552" s="91"/>
      <c r="E552" s="91"/>
      <c r="F552" s="92"/>
      <c r="G552" s="92"/>
      <c r="H552" s="92"/>
      <c r="I552" s="92"/>
      <c r="J552" s="91"/>
      <c r="K552" s="91"/>
      <c r="L552" s="91"/>
      <c r="M552" s="91"/>
      <c r="N552" s="91"/>
      <c r="O552" s="91"/>
      <c r="P552" s="91"/>
      <c r="Q552" s="91"/>
      <c r="R552" s="91"/>
      <c r="S552" s="91"/>
      <c r="T552" s="91"/>
      <c r="U552" s="91"/>
      <c r="V552" s="91"/>
    </row>
    <row r="553" spans="1:22" ht="12" hidden="1" customHeight="1">
      <c r="A553" s="91"/>
      <c r="B553" s="91"/>
      <c r="C553" s="91"/>
      <c r="D553" s="91"/>
      <c r="E553" s="91"/>
      <c r="F553" s="92"/>
      <c r="G553" s="92"/>
      <c r="H553" s="92"/>
      <c r="I553" s="92"/>
      <c r="J553" s="91"/>
      <c r="K553" s="91"/>
      <c r="L553" s="91"/>
      <c r="M553" s="91"/>
      <c r="N553" s="91"/>
      <c r="O553" s="91"/>
      <c r="P553" s="91"/>
      <c r="Q553" s="91"/>
      <c r="R553" s="91"/>
      <c r="S553" s="91"/>
      <c r="T553" s="91"/>
      <c r="U553" s="91"/>
      <c r="V553" s="91"/>
    </row>
    <row r="554" spans="1:22" ht="12" hidden="1" customHeight="1">
      <c r="A554" s="91"/>
      <c r="B554" s="91"/>
      <c r="C554" s="91"/>
      <c r="D554" s="91"/>
      <c r="E554" s="91"/>
      <c r="F554" s="92"/>
      <c r="G554" s="92"/>
      <c r="H554" s="92"/>
      <c r="I554" s="92"/>
      <c r="J554" s="91"/>
      <c r="K554" s="91"/>
      <c r="L554" s="91"/>
      <c r="M554" s="91"/>
      <c r="N554" s="91"/>
      <c r="O554" s="91"/>
      <c r="P554" s="91"/>
      <c r="Q554" s="91"/>
      <c r="R554" s="91"/>
      <c r="S554" s="91"/>
      <c r="T554" s="91"/>
      <c r="U554" s="91"/>
      <c r="V554" s="91"/>
    </row>
    <row r="555" spans="1:22" ht="12" hidden="1" customHeight="1">
      <c r="A555" s="91"/>
      <c r="B555" s="91"/>
      <c r="C555" s="91"/>
      <c r="D555" s="91"/>
      <c r="E555" s="91"/>
      <c r="F555" s="92"/>
      <c r="G555" s="92"/>
      <c r="H555" s="92"/>
      <c r="I555" s="92"/>
      <c r="J555" s="91"/>
      <c r="K555" s="91"/>
      <c r="L555" s="91"/>
      <c r="M555" s="91"/>
      <c r="N555" s="91"/>
      <c r="O555" s="91"/>
      <c r="P555" s="91"/>
      <c r="Q555" s="91"/>
      <c r="R555" s="91"/>
      <c r="S555" s="91"/>
      <c r="T555" s="91"/>
      <c r="U555" s="91"/>
      <c r="V555" s="91"/>
    </row>
    <row r="556" spans="1:22" ht="12" hidden="1" customHeight="1">
      <c r="A556" s="91"/>
      <c r="B556" s="91"/>
      <c r="C556" s="91"/>
      <c r="D556" s="91"/>
      <c r="E556" s="91"/>
      <c r="F556" s="92"/>
      <c r="G556" s="92"/>
      <c r="H556" s="92"/>
      <c r="I556" s="92"/>
      <c r="J556" s="91"/>
      <c r="K556" s="91"/>
      <c r="L556" s="91"/>
      <c r="M556" s="91"/>
      <c r="N556" s="91"/>
      <c r="O556" s="91"/>
      <c r="P556" s="91"/>
      <c r="Q556" s="91"/>
      <c r="R556" s="91"/>
      <c r="S556" s="91"/>
      <c r="T556" s="91"/>
      <c r="U556" s="91"/>
      <c r="V556" s="91"/>
    </row>
    <row r="557" spans="1:22" ht="12" hidden="1" customHeight="1">
      <c r="A557" s="91"/>
      <c r="B557" s="91"/>
      <c r="C557" s="91"/>
      <c r="D557" s="91"/>
      <c r="E557" s="91"/>
      <c r="F557" s="92"/>
      <c r="G557" s="92"/>
      <c r="H557" s="92"/>
      <c r="I557" s="92"/>
      <c r="J557" s="91"/>
      <c r="K557" s="91"/>
      <c r="L557" s="91"/>
      <c r="M557" s="91"/>
      <c r="N557" s="91"/>
      <c r="O557" s="91"/>
      <c r="P557" s="91"/>
      <c r="Q557" s="91"/>
      <c r="R557" s="91"/>
      <c r="S557" s="91"/>
      <c r="T557" s="91"/>
      <c r="U557" s="91"/>
      <c r="V557" s="91"/>
    </row>
    <row r="558" spans="1:22" ht="12" hidden="1" customHeight="1">
      <c r="A558" s="91"/>
      <c r="B558" s="91"/>
      <c r="C558" s="91"/>
      <c r="D558" s="91"/>
      <c r="E558" s="91"/>
      <c r="F558" s="92"/>
      <c r="G558" s="92"/>
      <c r="H558" s="92"/>
      <c r="I558" s="92"/>
      <c r="J558" s="91"/>
      <c r="K558" s="91"/>
      <c r="L558" s="91"/>
      <c r="M558" s="91"/>
      <c r="N558" s="91"/>
      <c r="O558" s="91"/>
      <c r="P558" s="91"/>
      <c r="Q558" s="91"/>
      <c r="R558" s="91"/>
      <c r="S558" s="91"/>
      <c r="T558" s="91"/>
      <c r="U558" s="91"/>
      <c r="V558" s="91"/>
    </row>
    <row r="559" spans="1:22" ht="12" hidden="1" customHeight="1">
      <c r="A559" s="91"/>
      <c r="B559" s="91"/>
      <c r="C559" s="91"/>
      <c r="D559" s="91"/>
      <c r="E559" s="91"/>
      <c r="F559" s="92"/>
      <c r="G559" s="92"/>
      <c r="H559" s="92"/>
      <c r="I559" s="92"/>
      <c r="J559" s="91"/>
      <c r="K559" s="91"/>
      <c r="L559" s="91"/>
      <c r="M559" s="91"/>
      <c r="N559" s="91"/>
      <c r="O559" s="91"/>
      <c r="P559" s="91"/>
      <c r="Q559" s="91"/>
      <c r="R559" s="91"/>
      <c r="S559" s="91"/>
      <c r="T559" s="91"/>
      <c r="U559" s="91"/>
      <c r="V559" s="91"/>
    </row>
    <row r="560" spans="1:22" ht="12" hidden="1" customHeight="1">
      <c r="A560" s="91"/>
      <c r="B560" s="91"/>
      <c r="C560" s="91"/>
      <c r="D560" s="91"/>
      <c r="E560" s="91"/>
      <c r="F560" s="92"/>
      <c r="G560" s="92"/>
      <c r="H560" s="92"/>
      <c r="I560" s="92"/>
      <c r="J560" s="91"/>
      <c r="K560" s="91"/>
      <c r="L560" s="91"/>
      <c r="M560" s="91"/>
      <c r="N560" s="91"/>
      <c r="O560" s="91"/>
      <c r="P560" s="91"/>
      <c r="Q560" s="91"/>
      <c r="R560" s="91"/>
      <c r="S560" s="91"/>
      <c r="T560" s="91"/>
      <c r="U560" s="91"/>
      <c r="V560" s="91"/>
    </row>
    <row r="561" spans="1:22" ht="12" hidden="1" customHeight="1">
      <c r="A561" s="91"/>
      <c r="B561" s="91"/>
      <c r="C561" s="91"/>
      <c r="D561" s="91"/>
      <c r="E561" s="91"/>
      <c r="F561" s="92"/>
      <c r="G561" s="92"/>
      <c r="H561" s="92"/>
      <c r="I561" s="92"/>
      <c r="J561" s="91"/>
      <c r="K561" s="91"/>
      <c r="L561" s="91"/>
      <c r="M561" s="91"/>
      <c r="N561" s="91"/>
      <c r="O561" s="91"/>
      <c r="P561" s="91"/>
      <c r="Q561" s="91"/>
      <c r="R561" s="91"/>
      <c r="S561" s="91"/>
      <c r="T561" s="91"/>
      <c r="U561" s="91"/>
      <c r="V561" s="91"/>
    </row>
    <row r="562" spans="1:22" ht="12" hidden="1" customHeight="1">
      <c r="A562" s="91"/>
      <c r="B562" s="91"/>
      <c r="C562" s="91"/>
      <c r="D562" s="91"/>
      <c r="E562" s="91"/>
      <c r="F562" s="92"/>
      <c r="G562" s="92"/>
      <c r="H562" s="92"/>
      <c r="I562" s="92"/>
      <c r="J562" s="91"/>
      <c r="K562" s="91"/>
      <c r="L562" s="91"/>
      <c r="M562" s="91"/>
      <c r="N562" s="91"/>
      <c r="O562" s="91"/>
      <c r="P562" s="91"/>
      <c r="Q562" s="91"/>
      <c r="R562" s="91"/>
      <c r="S562" s="91"/>
      <c r="T562" s="91"/>
      <c r="U562" s="91"/>
      <c r="V562" s="91"/>
    </row>
    <row r="563" spans="1:22" ht="12" hidden="1" customHeight="1">
      <c r="A563" s="91"/>
      <c r="B563" s="91"/>
      <c r="C563" s="91"/>
      <c r="D563" s="91"/>
      <c r="E563" s="91"/>
      <c r="F563" s="92"/>
      <c r="G563" s="92"/>
      <c r="H563" s="92"/>
      <c r="I563" s="92"/>
      <c r="J563" s="91"/>
      <c r="K563" s="91"/>
      <c r="L563" s="91"/>
      <c r="M563" s="91"/>
      <c r="N563" s="91"/>
      <c r="O563" s="91"/>
      <c r="P563" s="91"/>
      <c r="Q563" s="91"/>
      <c r="R563" s="91"/>
      <c r="S563" s="91"/>
      <c r="T563" s="91"/>
      <c r="U563" s="91"/>
      <c r="V563" s="91"/>
    </row>
    <row r="564" spans="1:22" ht="12" hidden="1" customHeight="1">
      <c r="A564" s="91"/>
      <c r="B564" s="91"/>
      <c r="C564" s="91"/>
      <c r="D564" s="91"/>
      <c r="E564" s="91"/>
      <c r="F564" s="92"/>
      <c r="G564" s="92"/>
      <c r="H564" s="92"/>
      <c r="I564" s="92"/>
      <c r="J564" s="91"/>
      <c r="K564" s="91"/>
      <c r="L564" s="91"/>
      <c r="M564" s="91"/>
      <c r="N564" s="91"/>
      <c r="O564" s="91"/>
      <c r="P564" s="91"/>
      <c r="Q564" s="91"/>
      <c r="R564" s="91"/>
      <c r="S564" s="91"/>
      <c r="T564" s="91"/>
      <c r="U564" s="91"/>
      <c r="V564" s="91"/>
    </row>
    <row r="565" spans="1:22" ht="12" hidden="1" customHeight="1">
      <c r="A565" s="91"/>
      <c r="B565" s="91"/>
      <c r="C565" s="91"/>
      <c r="D565" s="91"/>
      <c r="E565" s="91"/>
      <c r="F565" s="92"/>
      <c r="G565" s="92"/>
      <c r="H565" s="92"/>
      <c r="I565" s="92"/>
      <c r="J565" s="91"/>
      <c r="K565" s="91"/>
      <c r="L565" s="91"/>
      <c r="M565" s="91"/>
      <c r="N565" s="91"/>
      <c r="O565" s="91"/>
      <c r="P565" s="91"/>
      <c r="Q565" s="91"/>
      <c r="R565" s="91"/>
      <c r="S565" s="91"/>
      <c r="T565" s="91"/>
      <c r="U565" s="91"/>
      <c r="V565" s="91"/>
    </row>
    <row r="566" spans="1:22" ht="12" hidden="1" customHeight="1">
      <c r="A566" s="91"/>
      <c r="B566" s="91"/>
      <c r="C566" s="91"/>
      <c r="D566" s="91"/>
      <c r="E566" s="91"/>
      <c r="F566" s="92"/>
      <c r="G566" s="92"/>
      <c r="H566" s="92"/>
      <c r="I566" s="92"/>
      <c r="J566" s="91"/>
      <c r="K566" s="91"/>
      <c r="L566" s="91"/>
      <c r="M566" s="91"/>
      <c r="N566" s="91"/>
      <c r="O566" s="91"/>
      <c r="P566" s="91"/>
      <c r="Q566" s="91"/>
      <c r="R566" s="91"/>
      <c r="S566" s="91"/>
      <c r="T566" s="91"/>
      <c r="U566" s="91"/>
      <c r="V566" s="91"/>
    </row>
    <row r="567" spans="1:22" ht="12" hidden="1" customHeight="1">
      <c r="A567" s="91"/>
      <c r="B567" s="91"/>
      <c r="C567" s="91"/>
      <c r="D567" s="91"/>
      <c r="E567" s="91"/>
      <c r="F567" s="92"/>
      <c r="G567" s="92"/>
      <c r="H567" s="92"/>
      <c r="I567" s="92"/>
      <c r="J567" s="91"/>
      <c r="K567" s="91"/>
      <c r="L567" s="91"/>
      <c r="M567" s="91"/>
      <c r="N567" s="91"/>
      <c r="O567" s="91"/>
      <c r="P567" s="91"/>
      <c r="Q567" s="91"/>
      <c r="R567" s="91"/>
      <c r="S567" s="91"/>
      <c r="T567" s="91"/>
      <c r="U567" s="91"/>
      <c r="V567" s="91"/>
    </row>
    <row r="568" spans="1:22" ht="12" hidden="1" customHeight="1">
      <c r="A568" s="91"/>
      <c r="B568" s="91"/>
      <c r="C568" s="91"/>
      <c r="D568" s="91"/>
      <c r="E568" s="91"/>
      <c r="F568" s="92"/>
      <c r="G568" s="92"/>
      <c r="H568" s="92"/>
      <c r="I568" s="92"/>
      <c r="J568" s="91"/>
      <c r="K568" s="91"/>
      <c r="L568" s="91"/>
      <c r="M568" s="91"/>
      <c r="N568" s="91"/>
      <c r="O568" s="91"/>
      <c r="P568" s="91"/>
      <c r="Q568" s="91"/>
      <c r="R568" s="91"/>
      <c r="S568" s="91"/>
      <c r="T568" s="91"/>
      <c r="U568" s="91"/>
      <c r="V568" s="91"/>
    </row>
    <row r="569" spans="1:22" ht="12" hidden="1" customHeight="1">
      <c r="A569" s="91"/>
      <c r="B569" s="91"/>
      <c r="C569" s="91"/>
      <c r="D569" s="91"/>
      <c r="E569" s="91"/>
      <c r="F569" s="92"/>
      <c r="G569" s="92"/>
      <c r="H569" s="92"/>
      <c r="I569" s="92"/>
      <c r="J569" s="91"/>
      <c r="K569" s="91"/>
      <c r="L569" s="91"/>
      <c r="M569" s="91"/>
      <c r="N569" s="91"/>
      <c r="O569" s="91"/>
      <c r="P569" s="91"/>
      <c r="Q569" s="91"/>
      <c r="R569" s="91"/>
      <c r="S569" s="91"/>
      <c r="T569" s="91"/>
      <c r="U569" s="91"/>
      <c r="V569" s="91"/>
    </row>
    <row r="570" spans="1:22" ht="12" hidden="1" customHeight="1">
      <c r="A570" s="91"/>
      <c r="B570" s="91"/>
      <c r="C570" s="91"/>
      <c r="D570" s="91"/>
      <c r="E570" s="91"/>
      <c r="F570" s="92"/>
      <c r="G570" s="92"/>
      <c r="H570" s="92"/>
      <c r="I570" s="92"/>
      <c r="J570" s="91"/>
      <c r="K570" s="91"/>
      <c r="L570" s="91"/>
      <c r="M570" s="91"/>
      <c r="N570" s="91"/>
      <c r="O570" s="91"/>
      <c r="P570" s="91"/>
      <c r="Q570" s="91"/>
      <c r="R570" s="91"/>
      <c r="S570" s="91"/>
      <c r="T570" s="91"/>
      <c r="U570" s="91"/>
      <c r="V570" s="91"/>
    </row>
    <row r="571" spans="1:22" ht="12" hidden="1" customHeight="1">
      <c r="A571" s="91"/>
      <c r="B571" s="91"/>
      <c r="C571" s="91"/>
      <c r="D571" s="91"/>
      <c r="E571" s="91"/>
      <c r="F571" s="92"/>
      <c r="G571" s="92"/>
      <c r="H571" s="92"/>
      <c r="I571" s="92"/>
      <c r="J571" s="91"/>
      <c r="K571" s="91"/>
      <c r="L571" s="91"/>
      <c r="M571" s="91"/>
      <c r="N571" s="91"/>
      <c r="O571" s="91"/>
      <c r="P571" s="91"/>
      <c r="Q571" s="91"/>
      <c r="R571" s="91"/>
      <c r="S571" s="91"/>
      <c r="T571" s="91"/>
      <c r="U571" s="91"/>
      <c r="V571" s="91"/>
    </row>
    <row r="572" spans="1:22" ht="12" hidden="1" customHeight="1">
      <c r="A572" s="91"/>
      <c r="B572" s="91"/>
      <c r="C572" s="91"/>
      <c r="D572" s="91"/>
      <c r="E572" s="91"/>
      <c r="F572" s="92"/>
      <c r="G572" s="92"/>
      <c r="H572" s="92"/>
      <c r="I572" s="92"/>
      <c r="J572" s="91"/>
      <c r="K572" s="91"/>
      <c r="L572" s="91"/>
      <c r="M572" s="91"/>
      <c r="N572" s="91"/>
      <c r="O572" s="91"/>
      <c r="P572" s="91"/>
      <c r="Q572" s="91"/>
      <c r="R572" s="91"/>
      <c r="S572" s="91"/>
      <c r="T572" s="91"/>
      <c r="U572" s="91"/>
      <c r="V572" s="91"/>
    </row>
    <row r="573" spans="1:22" ht="12" hidden="1" customHeight="1">
      <c r="A573" s="91"/>
      <c r="B573" s="91"/>
      <c r="C573" s="91"/>
      <c r="D573" s="91"/>
      <c r="E573" s="91"/>
      <c r="F573" s="92"/>
      <c r="G573" s="92"/>
      <c r="H573" s="92"/>
      <c r="I573" s="92"/>
      <c r="J573" s="91"/>
      <c r="K573" s="91"/>
      <c r="L573" s="91"/>
      <c r="M573" s="91"/>
      <c r="N573" s="91"/>
      <c r="O573" s="91"/>
      <c r="P573" s="91"/>
      <c r="Q573" s="91"/>
      <c r="R573" s="91"/>
      <c r="S573" s="91"/>
      <c r="T573" s="91"/>
      <c r="U573" s="91"/>
      <c r="V573" s="91"/>
    </row>
    <row r="574" spans="1:22" ht="12" hidden="1" customHeight="1">
      <c r="A574" s="91"/>
      <c r="B574" s="91"/>
      <c r="C574" s="91"/>
      <c r="D574" s="91"/>
      <c r="E574" s="91"/>
      <c r="F574" s="92"/>
      <c r="G574" s="92"/>
      <c r="H574" s="92"/>
      <c r="I574" s="92"/>
      <c r="J574" s="91"/>
      <c r="K574" s="91"/>
      <c r="L574" s="91"/>
      <c r="M574" s="91"/>
      <c r="N574" s="91"/>
      <c r="O574" s="91"/>
      <c r="P574" s="91"/>
      <c r="Q574" s="91"/>
      <c r="R574" s="91"/>
      <c r="S574" s="91"/>
      <c r="T574" s="91"/>
      <c r="U574" s="91"/>
      <c r="V574" s="91"/>
    </row>
    <row r="575" spans="1:22" ht="12" hidden="1" customHeight="1">
      <c r="A575" s="91"/>
      <c r="B575" s="91"/>
      <c r="C575" s="91"/>
      <c r="D575" s="91"/>
      <c r="E575" s="91"/>
      <c r="F575" s="92"/>
      <c r="G575" s="92"/>
      <c r="H575" s="92"/>
      <c r="I575" s="92"/>
      <c r="J575" s="91"/>
      <c r="K575" s="91"/>
      <c r="L575" s="91"/>
      <c r="M575" s="91"/>
      <c r="N575" s="91"/>
      <c r="O575" s="91"/>
      <c r="P575" s="91"/>
      <c r="Q575" s="91"/>
      <c r="R575" s="91"/>
      <c r="S575" s="91"/>
      <c r="T575" s="91"/>
      <c r="U575" s="91"/>
      <c r="V575" s="91"/>
    </row>
    <row r="576" spans="1:22" ht="12" hidden="1" customHeight="1">
      <c r="A576" s="91"/>
      <c r="B576" s="91"/>
      <c r="C576" s="91"/>
      <c r="D576" s="91"/>
      <c r="E576" s="91"/>
      <c r="F576" s="92"/>
      <c r="G576" s="92"/>
      <c r="H576" s="92"/>
      <c r="I576" s="92"/>
      <c r="J576" s="91"/>
      <c r="K576" s="91"/>
      <c r="L576" s="91"/>
      <c r="M576" s="91"/>
      <c r="N576" s="91"/>
      <c r="O576" s="91"/>
      <c r="P576" s="91"/>
      <c r="Q576" s="91"/>
      <c r="R576" s="91"/>
      <c r="S576" s="91"/>
      <c r="T576" s="91"/>
      <c r="U576" s="91"/>
      <c r="V576" s="91"/>
    </row>
    <row r="577" spans="1:22" ht="12" hidden="1" customHeight="1">
      <c r="A577" s="91"/>
      <c r="B577" s="91"/>
      <c r="C577" s="91"/>
      <c r="D577" s="91"/>
      <c r="E577" s="91"/>
      <c r="F577" s="92"/>
      <c r="G577" s="92"/>
      <c r="H577" s="92"/>
      <c r="I577" s="92"/>
      <c r="J577" s="91"/>
      <c r="K577" s="91"/>
      <c r="L577" s="91"/>
      <c r="M577" s="91"/>
      <c r="N577" s="91"/>
      <c r="O577" s="91"/>
      <c r="P577" s="91"/>
      <c r="Q577" s="91"/>
      <c r="R577" s="91"/>
      <c r="S577" s="91"/>
      <c r="T577" s="91"/>
      <c r="U577" s="91"/>
      <c r="V577" s="91"/>
    </row>
    <row r="578" spans="1:22" ht="12" hidden="1" customHeight="1">
      <c r="A578" s="91"/>
      <c r="B578" s="91"/>
      <c r="C578" s="91"/>
      <c r="D578" s="91"/>
      <c r="E578" s="91"/>
      <c r="F578" s="92"/>
      <c r="G578" s="92"/>
      <c r="H578" s="92"/>
      <c r="I578" s="92"/>
      <c r="J578" s="91"/>
      <c r="K578" s="91"/>
      <c r="L578" s="91"/>
      <c r="M578" s="91"/>
      <c r="N578" s="91"/>
      <c r="O578" s="91"/>
      <c r="P578" s="91"/>
      <c r="Q578" s="91"/>
      <c r="R578" s="91"/>
      <c r="S578" s="91"/>
      <c r="T578" s="91"/>
      <c r="U578" s="91"/>
      <c r="V578" s="91"/>
    </row>
    <row r="579" spans="1:22" ht="12" hidden="1" customHeight="1">
      <c r="A579" s="91"/>
      <c r="B579" s="91"/>
      <c r="C579" s="91"/>
      <c r="D579" s="91"/>
      <c r="E579" s="91"/>
      <c r="F579" s="92"/>
      <c r="G579" s="92"/>
      <c r="H579" s="92"/>
      <c r="I579" s="92"/>
      <c r="J579" s="91"/>
      <c r="K579" s="91"/>
      <c r="L579" s="91"/>
      <c r="M579" s="91"/>
      <c r="N579" s="91"/>
      <c r="O579" s="91"/>
      <c r="P579" s="91"/>
      <c r="Q579" s="91"/>
      <c r="R579" s="91"/>
      <c r="S579" s="91"/>
      <c r="T579" s="91"/>
      <c r="U579" s="91"/>
      <c r="V579" s="91"/>
    </row>
    <row r="580" spans="1:22" ht="12" hidden="1" customHeight="1">
      <c r="A580" s="91"/>
      <c r="B580" s="91"/>
      <c r="C580" s="91"/>
      <c r="D580" s="91"/>
      <c r="E580" s="91"/>
      <c r="F580" s="92"/>
      <c r="G580" s="92"/>
      <c r="H580" s="92"/>
      <c r="I580" s="92"/>
      <c r="J580" s="91"/>
      <c r="K580" s="91"/>
      <c r="L580" s="91"/>
      <c r="M580" s="91"/>
      <c r="N580" s="91"/>
      <c r="O580" s="91"/>
      <c r="P580" s="91"/>
      <c r="Q580" s="91"/>
      <c r="R580" s="91"/>
      <c r="S580" s="91"/>
      <c r="T580" s="91"/>
      <c r="U580" s="91"/>
      <c r="V580" s="91"/>
    </row>
    <row r="581" spans="1:22" ht="12" hidden="1" customHeight="1">
      <c r="A581" s="91"/>
      <c r="B581" s="91"/>
      <c r="C581" s="91"/>
      <c r="D581" s="91"/>
      <c r="E581" s="91"/>
      <c r="F581" s="92"/>
      <c r="G581" s="92"/>
      <c r="H581" s="92"/>
      <c r="I581" s="92"/>
      <c r="J581" s="91"/>
      <c r="K581" s="91"/>
      <c r="L581" s="91"/>
      <c r="M581" s="91"/>
      <c r="N581" s="91"/>
      <c r="O581" s="91"/>
      <c r="P581" s="91"/>
      <c r="Q581" s="91"/>
      <c r="R581" s="91"/>
      <c r="S581" s="91"/>
      <c r="T581" s="91"/>
      <c r="U581" s="91"/>
      <c r="V581" s="91"/>
    </row>
    <row r="582" spans="1:22" ht="12" hidden="1" customHeight="1">
      <c r="A582" s="91"/>
      <c r="B582" s="91"/>
      <c r="C582" s="91"/>
      <c r="D582" s="91"/>
      <c r="E582" s="91"/>
      <c r="F582" s="92"/>
      <c r="G582" s="92"/>
      <c r="H582" s="92"/>
      <c r="I582" s="92"/>
      <c r="J582" s="91"/>
      <c r="K582" s="91"/>
      <c r="L582" s="91"/>
      <c r="M582" s="91"/>
      <c r="N582" s="91"/>
      <c r="O582" s="91"/>
      <c r="P582" s="91"/>
      <c r="Q582" s="91"/>
      <c r="R582" s="91"/>
      <c r="S582" s="91"/>
      <c r="T582" s="91"/>
      <c r="U582" s="91"/>
      <c r="V582" s="91"/>
    </row>
    <row r="583" spans="1:22" ht="12" hidden="1" customHeight="1">
      <c r="A583" s="91"/>
      <c r="B583" s="91"/>
      <c r="C583" s="91"/>
      <c r="D583" s="91"/>
      <c r="E583" s="91"/>
      <c r="F583" s="92"/>
      <c r="G583" s="92"/>
      <c r="H583" s="92"/>
      <c r="I583" s="92"/>
      <c r="J583" s="91"/>
      <c r="K583" s="91"/>
      <c r="L583" s="91"/>
      <c r="M583" s="91"/>
      <c r="N583" s="91"/>
      <c r="O583" s="91"/>
      <c r="P583" s="91"/>
      <c r="Q583" s="91"/>
      <c r="R583" s="91"/>
      <c r="S583" s="91"/>
      <c r="T583" s="91"/>
      <c r="U583" s="91"/>
      <c r="V583" s="91"/>
    </row>
    <row r="584" spans="1:22" ht="12" hidden="1" customHeight="1">
      <c r="A584" s="91"/>
      <c r="B584" s="91"/>
      <c r="C584" s="91"/>
      <c r="D584" s="91"/>
      <c r="E584" s="91"/>
      <c r="F584" s="92"/>
      <c r="G584" s="92"/>
      <c r="H584" s="92"/>
      <c r="I584" s="92"/>
      <c r="J584" s="91"/>
      <c r="K584" s="91"/>
      <c r="L584" s="91"/>
      <c r="M584" s="91"/>
      <c r="N584" s="91"/>
      <c r="O584" s="91"/>
      <c r="P584" s="91"/>
      <c r="Q584" s="91"/>
      <c r="R584" s="91"/>
      <c r="S584" s="91"/>
      <c r="T584" s="91"/>
      <c r="U584" s="91"/>
      <c r="V584" s="91"/>
    </row>
    <row r="585" spans="1:22" ht="12" hidden="1" customHeight="1">
      <c r="A585" s="91"/>
      <c r="B585" s="91"/>
      <c r="C585" s="91"/>
      <c r="D585" s="91"/>
      <c r="E585" s="91"/>
      <c r="F585" s="92"/>
      <c r="G585" s="92"/>
      <c r="H585" s="92"/>
      <c r="I585" s="92"/>
      <c r="J585" s="91"/>
      <c r="K585" s="91"/>
      <c r="L585" s="91"/>
      <c r="M585" s="91"/>
      <c r="N585" s="91"/>
      <c r="O585" s="91"/>
      <c r="P585" s="91"/>
      <c r="Q585" s="91"/>
      <c r="R585" s="91"/>
      <c r="S585" s="91"/>
      <c r="T585" s="91"/>
      <c r="U585" s="91"/>
      <c r="V585" s="91"/>
    </row>
    <row r="586" spans="1:22" ht="12" hidden="1" customHeight="1">
      <c r="A586" s="91"/>
      <c r="B586" s="91"/>
      <c r="C586" s="91"/>
      <c r="D586" s="91"/>
      <c r="E586" s="91"/>
      <c r="F586" s="92"/>
      <c r="G586" s="92"/>
      <c r="H586" s="92"/>
      <c r="I586" s="92"/>
      <c r="J586" s="91"/>
      <c r="K586" s="91"/>
      <c r="L586" s="91"/>
      <c r="M586" s="91"/>
      <c r="N586" s="91"/>
      <c r="O586" s="91"/>
      <c r="P586" s="91"/>
      <c r="Q586" s="91"/>
      <c r="R586" s="91"/>
      <c r="S586" s="91"/>
      <c r="T586" s="91"/>
      <c r="U586" s="91"/>
      <c r="V586" s="91"/>
    </row>
    <row r="587" spans="1:22" ht="12" hidden="1" customHeight="1">
      <c r="A587" s="91"/>
      <c r="B587" s="91"/>
      <c r="C587" s="91"/>
      <c r="D587" s="91"/>
      <c r="E587" s="91"/>
      <c r="F587" s="92"/>
      <c r="G587" s="92"/>
      <c r="H587" s="92"/>
      <c r="I587" s="92"/>
      <c r="J587" s="91"/>
      <c r="K587" s="91"/>
      <c r="L587" s="91"/>
      <c r="M587" s="91"/>
      <c r="N587" s="91"/>
      <c r="O587" s="91"/>
      <c r="P587" s="91"/>
      <c r="Q587" s="91"/>
      <c r="R587" s="91"/>
      <c r="S587" s="91"/>
      <c r="T587" s="91"/>
      <c r="U587" s="91"/>
      <c r="V587" s="91"/>
    </row>
    <row r="588" spans="1:22" ht="12" hidden="1" customHeight="1">
      <c r="A588" s="91"/>
      <c r="B588" s="91"/>
      <c r="C588" s="91"/>
      <c r="D588" s="91"/>
      <c r="E588" s="91"/>
      <c r="F588" s="92"/>
      <c r="G588" s="92"/>
      <c r="H588" s="92"/>
      <c r="I588" s="92"/>
      <c r="J588" s="91"/>
      <c r="K588" s="91"/>
      <c r="L588" s="91"/>
      <c r="M588" s="91"/>
      <c r="N588" s="91"/>
      <c r="O588" s="91"/>
      <c r="P588" s="91"/>
      <c r="Q588" s="91"/>
      <c r="R588" s="91"/>
      <c r="S588" s="91"/>
      <c r="T588" s="91"/>
      <c r="U588" s="91"/>
      <c r="V588" s="91"/>
    </row>
    <row r="589" spans="1:22" ht="12" hidden="1" customHeight="1">
      <c r="A589" s="91"/>
      <c r="B589" s="91"/>
      <c r="C589" s="91"/>
      <c r="D589" s="91"/>
      <c r="E589" s="91"/>
      <c r="F589" s="92"/>
      <c r="G589" s="92"/>
      <c r="H589" s="92"/>
      <c r="I589" s="92"/>
      <c r="J589" s="91"/>
      <c r="K589" s="91"/>
      <c r="L589" s="91"/>
      <c r="M589" s="91"/>
      <c r="N589" s="91"/>
      <c r="O589" s="91"/>
      <c r="P589" s="91"/>
      <c r="Q589" s="91"/>
      <c r="R589" s="91"/>
      <c r="S589" s="91"/>
      <c r="T589" s="91"/>
      <c r="U589" s="91"/>
      <c r="V589" s="91"/>
    </row>
    <row r="590" spans="1:22" ht="12" hidden="1" customHeight="1">
      <c r="A590" s="91"/>
      <c r="B590" s="91"/>
      <c r="C590" s="91"/>
      <c r="D590" s="91"/>
      <c r="E590" s="91"/>
      <c r="F590" s="92"/>
      <c r="G590" s="92"/>
      <c r="H590" s="92"/>
      <c r="I590" s="92"/>
      <c r="J590" s="91"/>
      <c r="K590" s="91"/>
      <c r="L590" s="91"/>
      <c r="M590" s="91"/>
      <c r="N590" s="91"/>
      <c r="O590" s="91"/>
      <c r="P590" s="91"/>
      <c r="Q590" s="91"/>
      <c r="R590" s="91"/>
      <c r="S590" s="91"/>
      <c r="T590" s="91"/>
      <c r="U590" s="91"/>
      <c r="V590" s="91"/>
    </row>
    <row r="591" spans="1:22" ht="12" hidden="1" customHeight="1">
      <c r="A591" s="91"/>
      <c r="B591" s="91"/>
      <c r="C591" s="91"/>
      <c r="D591" s="91"/>
      <c r="E591" s="91"/>
      <c r="F591" s="92"/>
      <c r="G591" s="92"/>
      <c r="H591" s="92"/>
      <c r="I591" s="92"/>
      <c r="J591" s="91"/>
      <c r="K591" s="91"/>
      <c r="L591" s="91"/>
      <c r="M591" s="91"/>
      <c r="N591" s="91"/>
      <c r="O591" s="91"/>
      <c r="P591" s="91"/>
      <c r="Q591" s="91"/>
      <c r="R591" s="91"/>
      <c r="S591" s="91"/>
      <c r="T591" s="91"/>
      <c r="U591" s="91"/>
      <c r="V591" s="91"/>
    </row>
    <row r="592" spans="1:22" ht="12" hidden="1" customHeight="1">
      <c r="A592" s="91"/>
      <c r="B592" s="91"/>
      <c r="C592" s="91"/>
      <c r="D592" s="91"/>
      <c r="E592" s="91"/>
      <c r="F592" s="92"/>
      <c r="G592" s="92"/>
      <c r="H592" s="92"/>
      <c r="I592" s="92"/>
      <c r="J592" s="91"/>
      <c r="K592" s="91"/>
      <c r="L592" s="91"/>
      <c r="M592" s="91"/>
      <c r="N592" s="91"/>
      <c r="O592" s="91"/>
      <c r="P592" s="91"/>
      <c r="Q592" s="91"/>
      <c r="R592" s="91"/>
      <c r="S592" s="91"/>
      <c r="T592" s="91"/>
      <c r="U592" s="91"/>
      <c r="V592" s="91"/>
    </row>
    <row r="593" spans="1:22" ht="12" hidden="1" customHeight="1">
      <c r="A593" s="91"/>
      <c r="B593" s="91"/>
      <c r="C593" s="91"/>
      <c r="D593" s="91"/>
      <c r="E593" s="91"/>
      <c r="F593" s="92"/>
      <c r="G593" s="92"/>
      <c r="H593" s="92"/>
      <c r="I593" s="92"/>
      <c r="J593" s="91"/>
      <c r="K593" s="91"/>
      <c r="L593" s="91"/>
      <c r="M593" s="91"/>
      <c r="N593" s="91"/>
      <c r="O593" s="91"/>
      <c r="P593" s="91"/>
      <c r="Q593" s="91"/>
      <c r="R593" s="91"/>
      <c r="S593" s="91"/>
      <c r="T593" s="91"/>
      <c r="U593" s="91"/>
      <c r="V593" s="91"/>
    </row>
    <row r="594" spans="1:22" ht="12" hidden="1" customHeight="1">
      <c r="A594" s="91"/>
      <c r="B594" s="91"/>
      <c r="C594" s="91"/>
      <c r="D594" s="91"/>
      <c r="E594" s="91"/>
      <c r="F594" s="92"/>
      <c r="G594" s="92"/>
      <c r="H594" s="92"/>
      <c r="I594" s="92"/>
      <c r="J594" s="91"/>
      <c r="K594" s="91"/>
      <c r="L594" s="91"/>
      <c r="M594" s="91"/>
      <c r="N594" s="91"/>
      <c r="O594" s="91"/>
      <c r="P594" s="91"/>
      <c r="Q594" s="91"/>
      <c r="R594" s="91"/>
      <c r="S594" s="91"/>
      <c r="T594" s="91"/>
      <c r="U594" s="91"/>
      <c r="V594" s="91"/>
    </row>
    <row r="595" spans="1:22" ht="12" hidden="1" customHeight="1">
      <c r="A595" s="91"/>
      <c r="B595" s="91"/>
      <c r="C595" s="91"/>
      <c r="D595" s="91"/>
      <c r="E595" s="91"/>
      <c r="F595" s="92"/>
      <c r="G595" s="92"/>
      <c r="H595" s="92"/>
      <c r="I595" s="92"/>
      <c r="J595" s="91"/>
      <c r="K595" s="91"/>
      <c r="L595" s="91"/>
      <c r="M595" s="91"/>
      <c r="N595" s="91"/>
      <c r="O595" s="91"/>
      <c r="P595" s="91"/>
      <c r="Q595" s="91"/>
      <c r="R595" s="91"/>
      <c r="S595" s="91"/>
      <c r="T595" s="91"/>
      <c r="U595" s="91"/>
      <c r="V595" s="91"/>
    </row>
    <row r="596" spans="1:22" ht="12" hidden="1" customHeight="1">
      <c r="A596" s="91"/>
      <c r="B596" s="91"/>
      <c r="C596" s="91"/>
      <c r="D596" s="91"/>
      <c r="E596" s="91"/>
      <c r="F596" s="92"/>
      <c r="G596" s="92"/>
      <c r="H596" s="92"/>
      <c r="I596" s="92"/>
      <c r="J596" s="91"/>
      <c r="K596" s="91"/>
      <c r="L596" s="91"/>
      <c r="M596" s="91"/>
      <c r="N596" s="91"/>
      <c r="O596" s="91"/>
      <c r="P596" s="91"/>
      <c r="Q596" s="91"/>
      <c r="R596" s="91"/>
      <c r="S596" s="91"/>
      <c r="T596" s="91"/>
      <c r="U596" s="91"/>
      <c r="V596" s="91"/>
    </row>
    <row r="597" spans="1:22" ht="12" hidden="1" customHeight="1">
      <c r="A597" s="91"/>
      <c r="B597" s="91"/>
      <c r="C597" s="91"/>
      <c r="D597" s="91"/>
      <c r="E597" s="91"/>
      <c r="F597" s="92"/>
      <c r="G597" s="92"/>
      <c r="H597" s="92"/>
      <c r="I597" s="92"/>
      <c r="J597" s="91"/>
      <c r="K597" s="91"/>
      <c r="L597" s="91"/>
      <c r="M597" s="91"/>
      <c r="N597" s="91"/>
      <c r="O597" s="91"/>
      <c r="P597" s="91"/>
      <c r="Q597" s="91"/>
      <c r="R597" s="91"/>
      <c r="S597" s="91"/>
      <c r="T597" s="91"/>
      <c r="U597" s="91"/>
      <c r="V597" s="91"/>
    </row>
    <row r="598" spans="1:22" ht="12" hidden="1" customHeight="1">
      <c r="A598" s="91"/>
      <c r="B598" s="91"/>
      <c r="C598" s="91"/>
      <c r="D598" s="91"/>
      <c r="E598" s="91"/>
      <c r="F598" s="92"/>
      <c r="G598" s="92"/>
      <c r="H598" s="92"/>
      <c r="I598" s="92"/>
      <c r="J598" s="91"/>
      <c r="K598" s="91"/>
      <c r="L598" s="91"/>
      <c r="M598" s="91"/>
      <c r="N598" s="91"/>
      <c r="O598" s="91"/>
      <c r="P598" s="91"/>
      <c r="Q598" s="91"/>
      <c r="R598" s="91"/>
      <c r="S598" s="91"/>
      <c r="T598" s="91"/>
      <c r="U598" s="91"/>
      <c r="V598" s="91"/>
    </row>
    <row r="599" spans="1:22" ht="12" hidden="1" customHeight="1">
      <c r="A599" s="91"/>
      <c r="B599" s="91"/>
      <c r="C599" s="91"/>
      <c r="D599" s="91"/>
      <c r="E599" s="91"/>
      <c r="F599" s="92"/>
      <c r="G599" s="92"/>
      <c r="H599" s="92"/>
      <c r="I599" s="92"/>
      <c r="J599" s="91"/>
      <c r="K599" s="91"/>
      <c r="L599" s="91"/>
      <c r="M599" s="91"/>
      <c r="N599" s="91"/>
      <c r="O599" s="91"/>
      <c r="P599" s="91"/>
      <c r="Q599" s="91"/>
      <c r="R599" s="91"/>
      <c r="S599" s="91"/>
      <c r="T599" s="91"/>
      <c r="U599" s="91"/>
      <c r="V599" s="91"/>
    </row>
    <row r="600" spans="1:22" ht="12" hidden="1" customHeight="1">
      <c r="A600" s="91"/>
      <c r="B600" s="91"/>
      <c r="C600" s="91"/>
      <c r="D600" s="91"/>
      <c r="E600" s="91"/>
      <c r="F600" s="92"/>
      <c r="G600" s="92"/>
      <c r="H600" s="92"/>
      <c r="I600" s="92"/>
      <c r="J600" s="91"/>
      <c r="K600" s="91"/>
      <c r="L600" s="91"/>
      <c r="M600" s="91"/>
      <c r="N600" s="91"/>
      <c r="O600" s="91"/>
      <c r="P600" s="91"/>
      <c r="Q600" s="91"/>
      <c r="R600" s="91"/>
      <c r="S600" s="91"/>
      <c r="T600" s="91"/>
      <c r="U600" s="91"/>
      <c r="V600" s="91"/>
    </row>
    <row r="601" spans="1:22" ht="12" hidden="1" customHeight="1">
      <c r="A601" s="91"/>
      <c r="B601" s="91"/>
      <c r="C601" s="91"/>
      <c r="D601" s="91"/>
      <c r="E601" s="91"/>
      <c r="F601" s="92"/>
      <c r="G601" s="92"/>
      <c r="H601" s="92"/>
      <c r="I601" s="92"/>
      <c r="J601" s="91"/>
      <c r="K601" s="91"/>
      <c r="L601" s="91"/>
      <c r="M601" s="91"/>
      <c r="N601" s="91"/>
      <c r="O601" s="91"/>
      <c r="P601" s="91"/>
      <c r="Q601" s="91"/>
      <c r="R601" s="91"/>
      <c r="S601" s="91"/>
      <c r="T601" s="91"/>
      <c r="U601" s="91"/>
      <c r="V601" s="91"/>
    </row>
    <row r="602" spans="1:22" ht="12" hidden="1" customHeight="1">
      <c r="A602" s="91"/>
      <c r="B602" s="91"/>
      <c r="C602" s="91"/>
      <c r="D602" s="91"/>
      <c r="E602" s="91"/>
      <c r="F602" s="92"/>
      <c r="G602" s="92"/>
      <c r="H602" s="92"/>
      <c r="I602" s="92"/>
      <c r="J602" s="91"/>
      <c r="K602" s="91"/>
      <c r="L602" s="91"/>
      <c r="M602" s="91"/>
      <c r="N602" s="91"/>
      <c r="O602" s="91"/>
      <c r="P602" s="91"/>
      <c r="Q602" s="91"/>
      <c r="R602" s="91"/>
      <c r="S602" s="91"/>
      <c r="T602" s="91"/>
      <c r="U602" s="91"/>
      <c r="V602" s="91"/>
    </row>
    <row r="603" spans="1:22" ht="12" hidden="1" customHeight="1">
      <c r="A603" s="91"/>
      <c r="B603" s="91"/>
      <c r="C603" s="91"/>
      <c r="D603" s="91"/>
      <c r="E603" s="91"/>
      <c r="F603" s="92"/>
      <c r="G603" s="92"/>
      <c r="H603" s="92"/>
      <c r="I603" s="92"/>
      <c r="J603" s="91"/>
      <c r="K603" s="91"/>
      <c r="L603" s="91"/>
      <c r="M603" s="91"/>
      <c r="N603" s="91"/>
      <c r="O603" s="91"/>
      <c r="P603" s="91"/>
      <c r="Q603" s="91"/>
      <c r="R603" s="91"/>
      <c r="S603" s="91"/>
      <c r="T603" s="91"/>
      <c r="U603" s="91"/>
      <c r="V603" s="91"/>
    </row>
    <row r="604" spans="1:22" ht="12" hidden="1" customHeight="1">
      <c r="A604" s="91"/>
      <c r="B604" s="91"/>
      <c r="C604" s="91"/>
      <c r="D604" s="91"/>
      <c r="E604" s="91"/>
      <c r="F604" s="92"/>
      <c r="G604" s="92"/>
      <c r="H604" s="92"/>
      <c r="I604" s="92"/>
      <c r="J604" s="91"/>
      <c r="K604" s="91"/>
      <c r="L604" s="91"/>
      <c r="M604" s="91"/>
      <c r="N604" s="91"/>
      <c r="O604" s="91"/>
      <c r="P604" s="91"/>
      <c r="Q604" s="91"/>
      <c r="R604" s="91"/>
      <c r="S604" s="91"/>
      <c r="T604" s="91"/>
      <c r="U604" s="91"/>
      <c r="V604" s="91"/>
    </row>
    <row r="605" spans="1:22" ht="12" hidden="1" customHeight="1">
      <c r="A605" s="91"/>
      <c r="B605" s="91"/>
      <c r="C605" s="91"/>
      <c r="D605" s="91"/>
      <c r="E605" s="91"/>
      <c r="F605" s="92"/>
      <c r="G605" s="92"/>
      <c r="H605" s="92"/>
      <c r="I605" s="92"/>
      <c r="J605" s="91"/>
      <c r="K605" s="91"/>
      <c r="L605" s="91"/>
      <c r="M605" s="91"/>
      <c r="N605" s="91"/>
      <c r="O605" s="91"/>
      <c r="P605" s="91"/>
      <c r="Q605" s="91"/>
      <c r="R605" s="91"/>
      <c r="S605" s="91"/>
      <c r="T605" s="91"/>
      <c r="U605" s="91"/>
      <c r="V605" s="91"/>
    </row>
    <row r="606" spans="1:22" ht="12" hidden="1" customHeight="1">
      <c r="A606" s="91"/>
      <c r="B606" s="91"/>
      <c r="C606" s="91"/>
      <c r="D606" s="91"/>
      <c r="E606" s="91"/>
      <c r="F606" s="92"/>
      <c r="G606" s="92"/>
      <c r="H606" s="92"/>
      <c r="I606" s="92"/>
      <c r="J606" s="91"/>
      <c r="K606" s="91"/>
      <c r="L606" s="91"/>
      <c r="M606" s="91"/>
      <c r="N606" s="91"/>
      <c r="O606" s="91"/>
      <c r="P606" s="91"/>
      <c r="Q606" s="91"/>
      <c r="R606" s="91"/>
      <c r="S606" s="91"/>
      <c r="T606" s="91"/>
      <c r="U606" s="91"/>
      <c r="V606" s="91"/>
    </row>
    <row r="607" spans="1:22" ht="12" hidden="1" customHeight="1">
      <c r="A607" s="91"/>
      <c r="B607" s="91"/>
      <c r="C607" s="91"/>
      <c r="D607" s="91"/>
      <c r="E607" s="91"/>
      <c r="F607" s="92"/>
      <c r="G607" s="92"/>
      <c r="H607" s="92"/>
      <c r="I607" s="92"/>
      <c r="J607" s="91"/>
      <c r="K607" s="91"/>
      <c r="L607" s="91"/>
      <c r="M607" s="91"/>
      <c r="N607" s="91"/>
      <c r="O607" s="91"/>
      <c r="P607" s="91"/>
      <c r="Q607" s="91"/>
      <c r="R607" s="91"/>
      <c r="S607" s="91"/>
      <c r="T607" s="91"/>
      <c r="U607" s="91"/>
      <c r="V607" s="91"/>
    </row>
    <row r="608" spans="1:22" ht="12" hidden="1" customHeight="1">
      <c r="A608" s="91"/>
      <c r="B608" s="91"/>
      <c r="C608" s="91"/>
      <c r="D608" s="91"/>
      <c r="E608" s="91"/>
      <c r="F608" s="92"/>
      <c r="G608" s="92"/>
      <c r="H608" s="92"/>
      <c r="I608" s="92"/>
      <c r="J608" s="91"/>
      <c r="K608" s="91"/>
      <c r="L608" s="91"/>
      <c r="M608" s="91"/>
      <c r="N608" s="91"/>
      <c r="O608" s="91"/>
      <c r="P608" s="91"/>
      <c r="Q608" s="91"/>
      <c r="R608" s="91"/>
      <c r="S608" s="91"/>
      <c r="T608" s="91"/>
      <c r="U608" s="91"/>
      <c r="V608" s="91"/>
    </row>
    <row r="609" spans="1:22" ht="12" hidden="1" customHeight="1">
      <c r="A609" s="91"/>
      <c r="B609" s="91"/>
      <c r="C609" s="91"/>
      <c r="D609" s="91"/>
      <c r="E609" s="91"/>
      <c r="F609" s="92"/>
      <c r="G609" s="92"/>
      <c r="H609" s="92"/>
      <c r="I609" s="92"/>
      <c r="J609" s="91"/>
      <c r="K609" s="91"/>
      <c r="L609" s="91"/>
      <c r="M609" s="91"/>
      <c r="N609" s="91"/>
      <c r="O609" s="91"/>
      <c r="P609" s="91"/>
      <c r="Q609" s="91"/>
      <c r="R609" s="91"/>
      <c r="S609" s="91"/>
      <c r="T609" s="91"/>
      <c r="U609" s="91"/>
      <c r="V609" s="91"/>
    </row>
    <row r="610" spans="1:22" ht="12" hidden="1" customHeight="1">
      <c r="A610" s="91"/>
      <c r="B610" s="91"/>
      <c r="C610" s="91"/>
      <c r="D610" s="91"/>
      <c r="E610" s="91"/>
      <c r="F610" s="92"/>
      <c r="G610" s="92"/>
      <c r="H610" s="92"/>
      <c r="I610" s="92"/>
      <c r="J610" s="91"/>
      <c r="K610" s="91"/>
      <c r="L610" s="91"/>
      <c r="M610" s="91"/>
      <c r="N610" s="91"/>
      <c r="O610" s="91"/>
      <c r="P610" s="91"/>
      <c r="Q610" s="91"/>
      <c r="R610" s="91"/>
      <c r="S610" s="91"/>
      <c r="T610" s="91"/>
      <c r="U610" s="91"/>
      <c r="V610" s="91"/>
    </row>
    <row r="611" spans="1:22" ht="12" hidden="1" customHeight="1">
      <c r="A611" s="91"/>
      <c r="B611" s="91"/>
      <c r="C611" s="91"/>
      <c r="D611" s="91"/>
      <c r="E611" s="91"/>
      <c r="F611" s="92"/>
      <c r="G611" s="92"/>
      <c r="H611" s="92"/>
      <c r="I611" s="92"/>
      <c r="J611" s="91"/>
      <c r="K611" s="91"/>
      <c r="L611" s="91"/>
      <c r="M611" s="91"/>
      <c r="N611" s="91"/>
      <c r="O611" s="91"/>
      <c r="P611" s="91"/>
      <c r="Q611" s="91"/>
      <c r="R611" s="91"/>
      <c r="S611" s="91"/>
      <c r="T611" s="91"/>
      <c r="U611" s="91"/>
      <c r="V611" s="91"/>
    </row>
    <row r="612" spans="1:22" ht="12" hidden="1" customHeight="1">
      <c r="A612" s="91"/>
      <c r="B612" s="91"/>
      <c r="C612" s="91"/>
      <c r="D612" s="91"/>
      <c r="E612" s="91"/>
      <c r="F612" s="92"/>
      <c r="G612" s="92"/>
      <c r="H612" s="92"/>
      <c r="I612" s="92"/>
      <c r="J612" s="91"/>
      <c r="K612" s="91"/>
      <c r="L612" s="91"/>
      <c r="M612" s="91"/>
      <c r="N612" s="91"/>
      <c r="O612" s="91"/>
      <c r="P612" s="91"/>
      <c r="Q612" s="91"/>
      <c r="R612" s="91"/>
      <c r="S612" s="91"/>
      <c r="T612" s="91"/>
      <c r="U612" s="91"/>
      <c r="V612" s="91"/>
    </row>
    <row r="613" spans="1:22" ht="12" hidden="1" customHeight="1">
      <c r="A613" s="91"/>
      <c r="B613" s="91"/>
      <c r="C613" s="91"/>
      <c r="D613" s="91"/>
      <c r="E613" s="91"/>
      <c r="F613" s="92"/>
      <c r="G613" s="92"/>
      <c r="H613" s="92"/>
      <c r="I613" s="92"/>
      <c r="J613" s="91"/>
      <c r="K613" s="91"/>
      <c r="L613" s="91"/>
      <c r="M613" s="91"/>
      <c r="N613" s="91"/>
      <c r="O613" s="91"/>
      <c r="P613" s="91"/>
      <c r="Q613" s="91"/>
      <c r="R613" s="91"/>
      <c r="S613" s="91"/>
      <c r="T613" s="91"/>
      <c r="U613" s="91"/>
      <c r="V613" s="91"/>
    </row>
    <row r="614" spans="1:22" ht="12" hidden="1" customHeight="1">
      <c r="A614" s="91"/>
      <c r="B614" s="91"/>
      <c r="C614" s="91"/>
      <c r="D614" s="91"/>
      <c r="E614" s="91"/>
      <c r="F614" s="92"/>
      <c r="G614" s="92"/>
      <c r="H614" s="92"/>
      <c r="I614" s="92"/>
      <c r="J614" s="91"/>
      <c r="K614" s="91"/>
      <c r="L614" s="91"/>
      <c r="M614" s="91"/>
      <c r="N614" s="91"/>
      <c r="O614" s="91"/>
      <c r="P614" s="91"/>
      <c r="Q614" s="91"/>
      <c r="R614" s="91"/>
      <c r="S614" s="91"/>
      <c r="T614" s="91"/>
      <c r="U614" s="91"/>
      <c r="V614" s="91"/>
    </row>
    <row r="615" spans="1:22" ht="12" hidden="1" customHeight="1">
      <c r="A615" s="91"/>
      <c r="B615" s="91"/>
      <c r="C615" s="91"/>
      <c r="D615" s="91"/>
      <c r="E615" s="91"/>
      <c r="F615" s="92"/>
      <c r="G615" s="92"/>
      <c r="H615" s="92"/>
      <c r="I615" s="92"/>
      <c r="J615" s="91"/>
      <c r="K615" s="91"/>
      <c r="L615" s="91"/>
      <c r="M615" s="91"/>
      <c r="N615" s="91"/>
      <c r="O615" s="91"/>
      <c r="P615" s="91"/>
      <c r="Q615" s="91"/>
      <c r="R615" s="91"/>
      <c r="S615" s="91"/>
      <c r="T615" s="91"/>
      <c r="U615" s="91"/>
      <c r="V615" s="91"/>
    </row>
    <row r="616" spans="1:22" ht="12" hidden="1" customHeight="1">
      <c r="A616" s="91"/>
      <c r="B616" s="91"/>
      <c r="C616" s="91"/>
      <c r="D616" s="91"/>
      <c r="E616" s="91"/>
      <c r="F616" s="92"/>
      <c r="G616" s="92"/>
      <c r="H616" s="92"/>
      <c r="I616" s="92"/>
      <c r="J616" s="91"/>
      <c r="K616" s="91"/>
      <c r="L616" s="91"/>
      <c r="M616" s="91"/>
      <c r="N616" s="91"/>
      <c r="O616" s="91"/>
      <c r="P616" s="91"/>
      <c r="Q616" s="91"/>
      <c r="R616" s="91"/>
      <c r="S616" s="91"/>
      <c r="T616" s="91"/>
      <c r="U616" s="91"/>
      <c r="V616" s="91"/>
    </row>
    <row r="617" spans="1:22" ht="12" hidden="1" customHeight="1">
      <c r="A617" s="91"/>
      <c r="B617" s="91"/>
      <c r="C617" s="91"/>
      <c r="D617" s="91"/>
      <c r="E617" s="91"/>
      <c r="F617" s="92"/>
      <c r="G617" s="92"/>
      <c r="H617" s="92"/>
      <c r="I617" s="92"/>
      <c r="J617" s="91"/>
      <c r="K617" s="91"/>
      <c r="L617" s="91"/>
      <c r="M617" s="91"/>
      <c r="N617" s="91"/>
      <c r="O617" s="91"/>
      <c r="P617" s="91"/>
      <c r="Q617" s="91"/>
      <c r="R617" s="91"/>
      <c r="S617" s="91"/>
      <c r="T617" s="91"/>
      <c r="U617" s="91"/>
      <c r="V617" s="91"/>
    </row>
    <row r="618" spans="1:22" ht="12" hidden="1" customHeight="1">
      <c r="A618" s="91"/>
      <c r="B618" s="91"/>
      <c r="C618" s="91"/>
      <c r="D618" s="91"/>
      <c r="E618" s="91"/>
      <c r="F618" s="92"/>
      <c r="G618" s="92"/>
      <c r="H618" s="92"/>
      <c r="I618" s="92"/>
      <c r="J618" s="91"/>
      <c r="K618" s="91"/>
      <c r="L618" s="91"/>
      <c r="M618" s="91"/>
      <c r="N618" s="91"/>
      <c r="O618" s="91"/>
      <c r="P618" s="91"/>
      <c r="Q618" s="91"/>
      <c r="R618" s="91"/>
      <c r="S618" s="91"/>
      <c r="T618" s="91"/>
      <c r="U618" s="91"/>
      <c r="V618" s="91"/>
    </row>
    <row r="619" spans="1:22" ht="12" hidden="1" customHeight="1">
      <c r="A619" s="91"/>
      <c r="B619" s="91"/>
      <c r="C619" s="91"/>
      <c r="D619" s="91"/>
      <c r="E619" s="91"/>
      <c r="F619" s="92"/>
      <c r="G619" s="92"/>
      <c r="H619" s="92"/>
      <c r="I619" s="92"/>
      <c r="J619" s="91"/>
      <c r="K619" s="91"/>
      <c r="L619" s="91"/>
      <c r="M619" s="91"/>
      <c r="N619" s="91"/>
      <c r="O619" s="91"/>
      <c r="P619" s="91"/>
      <c r="Q619" s="91"/>
      <c r="R619" s="91"/>
      <c r="S619" s="91"/>
      <c r="T619" s="91"/>
      <c r="U619" s="91"/>
      <c r="V619" s="91"/>
    </row>
    <row r="620" spans="1:22" ht="12" hidden="1" customHeight="1">
      <c r="A620" s="91"/>
      <c r="B620" s="91"/>
      <c r="C620" s="91"/>
      <c r="D620" s="91"/>
      <c r="E620" s="91"/>
      <c r="F620" s="92"/>
      <c r="G620" s="92"/>
      <c r="H620" s="92"/>
      <c r="I620" s="92"/>
      <c r="J620" s="91"/>
      <c r="K620" s="91"/>
      <c r="L620" s="91"/>
      <c r="M620" s="91"/>
      <c r="N620" s="91"/>
      <c r="O620" s="91"/>
      <c r="P620" s="91"/>
      <c r="Q620" s="91"/>
      <c r="R620" s="91"/>
      <c r="S620" s="91"/>
      <c r="T620" s="91"/>
      <c r="U620" s="91"/>
      <c r="V620" s="91"/>
    </row>
    <row r="621" spans="1:22" ht="12" hidden="1" customHeight="1">
      <c r="A621" s="91"/>
      <c r="B621" s="91"/>
      <c r="C621" s="91"/>
      <c r="D621" s="91"/>
      <c r="E621" s="91"/>
      <c r="F621" s="92"/>
      <c r="G621" s="92"/>
      <c r="H621" s="92"/>
      <c r="I621" s="92"/>
      <c r="J621" s="91"/>
      <c r="K621" s="91"/>
      <c r="L621" s="91"/>
      <c r="M621" s="91"/>
      <c r="N621" s="91"/>
      <c r="O621" s="91"/>
      <c r="P621" s="91"/>
      <c r="Q621" s="91"/>
      <c r="R621" s="91"/>
      <c r="S621" s="91"/>
      <c r="T621" s="91"/>
      <c r="U621" s="91"/>
      <c r="V621" s="91"/>
    </row>
    <row r="622" spans="1:22" ht="12" hidden="1" customHeight="1">
      <c r="A622" s="91"/>
      <c r="B622" s="91"/>
      <c r="C622" s="91"/>
      <c r="D622" s="91"/>
      <c r="E622" s="91"/>
      <c r="F622" s="92"/>
      <c r="G622" s="92"/>
      <c r="H622" s="92"/>
      <c r="I622" s="92"/>
      <c r="J622" s="91"/>
      <c r="K622" s="91"/>
      <c r="L622" s="91"/>
      <c r="M622" s="91"/>
      <c r="N622" s="91"/>
      <c r="O622" s="91"/>
      <c r="P622" s="91"/>
      <c r="Q622" s="91"/>
      <c r="R622" s="91"/>
      <c r="S622" s="91"/>
      <c r="T622" s="91"/>
      <c r="U622" s="91"/>
      <c r="V622" s="91"/>
    </row>
    <row r="623" spans="1:22" ht="12" hidden="1" customHeight="1">
      <c r="A623" s="91"/>
      <c r="B623" s="91"/>
      <c r="C623" s="91"/>
      <c r="D623" s="91"/>
      <c r="E623" s="91"/>
      <c r="F623" s="92"/>
      <c r="G623" s="92"/>
      <c r="H623" s="92"/>
      <c r="I623" s="92"/>
      <c r="J623" s="91"/>
      <c r="K623" s="91"/>
      <c r="L623" s="91"/>
      <c r="M623" s="91"/>
      <c r="N623" s="91"/>
      <c r="O623" s="91"/>
      <c r="P623" s="91"/>
      <c r="Q623" s="91"/>
      <c r="R623" s="91"/>
      <c r="S623" s="91"/>
      <c r="T623" s="91"/>
      <c r="U623" s="91"/>
      <c r="V623" s="91"/>
    </row>
    <row r="624" spans="1:22" ht="12" hidden="1" customHeight="1">
      <c r="A624" s="91"/>
      <c r="B624" s="91"/>
      <c r="C624" s="91"/>
      <c r="D624" s="91"/>
      <c r="E624" s="91"/>
      <c r="F624" s="92"/>
      <c r="G624" s="92"/>
      <c r="H624" s="92"/>
      <c r="I624" s="92"/>
      <c r="J624" s="91"/>
      <c r="K624" s="91"/>
      <c r="L624" s="91"/>
      <c r="M624" s="91"/>
      <c r="N624" s="91"/>
      <c r="O624" s="91"/>
      <c r="P624" s="91"/>
      <c r="Q624" s="91"/>
      <c r="R624" s="91"/>
      <c r="S624" s="91"/>
      <c r="T624" s="91"/>
      <c r="U624" s="91"/>
      <c r="V624" s="91"/>
    </row>
    <row r="625" spans="1:22" ht="12" hidden="1" customHeight="1">
      <c r="A625" s="91"/>
      <c r="B625" s="91"/>
      <c r="C625" s="91"/>
      <c r="D625" s="91"/>
      <c r="E625" s="91"/>
      <c r="F625" s="92"/>
      <c r="G625" s="92"/>
      <c r="H625" s="92"/>
      <c r="I625" s="92"/>
      <c r="J625" s="91"/>
      <c r="K625" s="91"/>
      <c r="L625" s="91"/>
      <c r="M625" s="91"/>
      <c r="N625" s="91"/>
      <c r="O625" s="91"/>
      <c r="P625" s="91"/>
      <c r="Q625" s="91"/>
      <c r="R625" s="91"/>
      <c r="S625" s="91"/>
      <c r="T625" s="91"/>
      <c r="U625" s="91"/>
      <c r="V625" s="91"/>
    </row>
    <row r="626" spans="1:22" ht="12" hidden="1" customHeight="1">
      <c r="A626" s="91"/>
      <c r="B626" s="91"/>
      <c r="C626" s="91"/>
      <c r="D626" s="91"/>
      <c r="E626" s="91"/>
      <c r="F626" s="92"/>
      <c r="G626" s="92"/>
      <c r="H626" s="92"/>
      <c r="I626" s="92"/>
      <c r="J626" s="91"/>
      <c r="K626" s="91"/>
      <c r="L626" s="91"/>
      <c r="M626" s="91"/>
      <c r="N626" s="91"/>
      <c r="O626" s="91"/>
      <c r="P626" s="91"/>
      <c r="Q626" s="91"/>
      <c r="R626" s="91"/>
      <c r="S626" s="91"/>
      <c r="T626" s="91"/>
      <c r="U626" s="91"/>
      <c r="V626" s="91"/>
    </row>
    <row r="627" spans="1:22" ht="12" hidden="1" customHeight="1">
      <c r="A627" s="91"/>
      <c r="B627" s="91"/>
      <c r="C627" s="91"/>
      <c r="D627" s="91"/>
      <c r="E627" s="91"/>
      <c r="F627" s="92"/>
      <c r="G627" s="92"/>
      <c r="H627" s="92"/>
      <c r="I627" s="92"/>
      <c r="J627" s="91"/>
      <c r="K627" s="91"/>
      <c r="L627" s="91"/>
      <c r="M627" s="91"/>
      <c r="N627" s="91"/>
      <c r="O627" s="91"/>
      <c r="P627" s="91"/>
      <c r="Q627" s="91"/>
      <c r="R627" s="91"/>
      <c r="S627" s="91"/>
      <c r="T627" s="91"/>
      <c r="U627" s="91"/>
      <c r="V627" s="91"/>
    </row>
    <row r="628" spans="1:22" ht="12" hidden="1" customHeight="1">
      <c r="A628" s="91"/>
      <c r="B628" s="91"/>
      <c r="C628" s="91"/>
      <c r="D628" s="91"/>
      <c r="E628" s="91"/>
      <c r="F628" s="92"/>
      <c r="G628" s="92"/>
      <c r="H628" s="92"/>
      <c r="I628" s="92"/>
      <c r="J628" s="91"/>
      <c r="K628" s="91"/>
      <c r="L628" s="91"/>
      <c r="M628" s="91"/>
      <c r="N628" s="91"/>
      <c r="O628" s="91"/>
      <c r="P628" s="91"/>
      <c r="Q628" s="91"/>
      <c r="R628" s="91"/>
      <c r="S628" s="91"/>
      <c r="T628" s="91"/>
      <c r="U628" s="91"/>
      <c r="V628" s="91"/>
    </row>
    <row r="629" spans="1:22" ht="12" hidden="1" customHeight="1">
      <c r="A629" s="91"/>
      <c r="B629" s="91"/>
      <c r="C629" s="91"/>
      <c r="D629" s="91"/>
      <c r="E629" s="91"/>
      <c r="F629" s="92"/>
      <c r="G629" s="92"/>
      <c r="H629" s="92"/>
      <c r="I629" s="92"/>
      <c r="J629" s="91"/>
      <c r="K629" s="91"/>
      <c r="L629" s="91"/>
      <c r="M629" s="91"/>
      <c r="N629" s="91"/>
      <c r="O629" s="91"/>
      <c r="P629" s="91"/>
      <c r="Q629" s="91"/>
      <c r="R629" s="91"/>
      <c r="S629" s="91"/>
      <c r="T629" s="91"/>
      <c r="U629" s="91"/>
      <c r="V629" s="91"/>
    </row>
    <row r="630" spans="1:22" ht="12" hidden="1" customHeight="1">
      <c r="A630" s="91"/>
      <c r="B630" s="91"/>
      <c r="C630" s="91"/>
      <c r="D630" s="91"/>
      <c r="E630" s="91"/>
      <c r="F630" s="92"/>
      <c r="G630" s="92"/>
      <c r="H630" s="92"/>
      <c r="I630" s="92"/>
      <c r="J630" s="91"/>
      <c r="K630" s="91"/>
      <c r="L630" s="91"/>
      <c r="M630" s="91"/>
      <c r="N630" s="91"/>
      <c r="O630" s="91"/>
      <c r="P630" s="91"/>
      <c r="Q630" s="91"/>
      <c r="R630" s="91"/>
      <c r="S630" s="91"/>
      <c r="T630" s="91"/>
      <c r="U630" s="91"/>
      <c r="V630" s="91"/>
    </row>
    <row r="631" spans="1:22" ht="12" hidden="1" customHeight="1">
      <c r="A631" s="91"/>
      <c r="B631" s="91"/>
      <c r="C631" s="91"/>
      <c r="D631" s="91"/>
      <c r="E631" s="91"/>
      <c r="F631" s="92"/>
      <c r="G631" s="92"/>
      <c r="H631" s="92"/>
      <c r="I631" s="92"/>
      <c r="J631" s="91"/>
      <c r="K631" s="91"/>
      <c r="L631" s="91"/>
      <c r="M631" s="91"/>
      <c r="N631" s="91"/>
      <c r="O631" s="91"/>
      <c r="P631" s="91"/>
      <c r="Q631" s="91"/>
      <c r="R631" s="91"/>
      <c r="S631" s="91"/>
      <c r="T631" s="91"/>
      <c r="U631" s="91"/>
      <c r="V631" s="91"/>
    </row>
    <row r="632" spans="1:22" ht="12" hidden="1" customHeight="1">
      <c r="A632" s="91"/>
      <c r="B632" s="91"/>
      <c r="C632" s="91"/>
      <c r="D632" s="91"/>
      <c r="E632" s="91"/>
      <c r="F632" s="92"/>
      <c r="G632" s="92"/>
      <c r="H632" s="92"/>
      <c r="I632" s="92"/>
      <c r="J632" s="91"/>
      <c r="K632" s="91"/>
      <c r="L632" s="91"/>
      <c r="M632" s="91"/>
      <c r="N632" s="91"/>
      <c r="O632" s="91"/>
      <c r="P632" s="91"/>
      <c r="Q632" s="91"/>
      <c r="R632" s="91"/>
      <c r="S632" s="91"/>
      <c r="T632" s="91"/>
      <c r="U632" s="91"/>
      <c r="V632" s="91"/>
    </row>
    <row r="633" spans="1:22" ht="12" hidden="1" customHeight="1">
      <c r="A633" s="91"/>
      <c r="B633" s="91"/>
      <c r="C633" s="91"/>
      <c r="D633" s="91"/>
      <c r="E633" s="91"/>
      <c r="F633" s="92"/>
      <c r="G633" s="92"/>
      <c r="H633" s="92"/>
      <c r="I633" s="92"/>
      <c r="J633" s="91"/>
      <c r="K633" s="91"/>
      <c r="L633" s="91"/>
      <c r="M633" s="91"/>
      <c r="N633" s="91"/>
      <c r="O633" s="91"/>
      <c r="P633" s="91"/>
      <c r="Q633" s="91"/>
      <c r="R633" s="91"/>
      <c r="S633" s="91"/>
      <c r="T633" s="91"/>
      <c r="U633" s="91"/>
      <c r="V633" s="91"/>
    </row>
    <row r="634" spans="1:22" ht="12" hidden="1" customHeight="1">
      <c r="A634" s="91"/>
      <c r="B634" s="91"/>
      <c r="C634" s="91"/>
      <c r="D634" s="91"/>
      <c r="E634" s="91"/>
      <c r="F634" s="92"/>
      <c r="G634" s="92"/>
      <c r="H634" s="92"/>
      <c r="I634" s="92"/>
      <c r="J634" s="91"/>
      <c r="K634" s="91"/>
      <c r="L634" s="91"/>
      <c r="M634" s="91"/>
      <c r="N634" s="91"/>
      <c r="O634" s="91"/>
      <c r="P634" s="91"/>
      <c r="Q634" s="91"/>
      <c r="R634" s="91"/>
      <c r="S634" s="91"/>
      <c r="T634" s="91"/>
      <c r="U634" s="91"/>
      <c r="V634" s="91"/>
    </row>
    <row r="635" spans="1:22" ht="12" hidden="1" customHeight="1">
      <c r="A635" s="91"/>
      <c r="B635" s="91"/>
      <c r="C635" s="91"/>
      <c r="D635" s="91"/>
      <c r="E635" s="91"/>
      <c r="F635" s="92"/>
      <c r="G635" s="92"/>
      <c r="H635" s="92"/>
      <c r="I635" s="92"/>
      <c r="J635" s="91"/>
      <c r="K635" s="91"/>
      <c r="L635" s="91"/>
      <c r="M635" s="91"/>
      <c r="N635" s="91"/>
      <c r="O635" s="91"/>
      <c r="P635" s="91"/>
      <c r="Q635" s="91"/>
      <c r="R635" s="91"/>
      <c r="S635" s="91"/>
      <c r="T635" s="91"/>
      <c r="U635" s="91"/>
      <c r="V635" s="91"/>
    </row>
    <row r="636" spans="1:22" ht="12" hidden="1" customHeight="1">
      <c r="A636" s="91"/>
      <c r="B636" s="91"/>
      <c r="C636" s="91"/>
      <c r="D636" s="91"/>
      <c r="E636" s="91"/>
      <c r="F636" s="92"/>
      <c r="G636" s="92"/>
      <c r="H636" s="92"/>
      <c r="I636" s="92"/>
      <c r="J636" s="91"/>
      <c r="K636" s="91"/>
      <c r="L636" s="91"/>
      <c r="M636" s="91"/>
      <c r="N636" s="91"/>
      <c r="O636" s="91"/>
      <c r="P636" s="91"/>
      <c r="Q636" s="91"/>
      <c r="R636" s="91"/>
      <c r="S636" s="91"/>
      <c r="T636" s="91"/>
      <c r="U636" s="91"/>
      <c r="V636" s="91"/>
    </row>
    <row r="637" spans="1:22" ht="12" hidden="1" customHeight="1">
      <c r="A637" s="91"/>
      <c r="B637" s="91"/>
      <c r="C637" s="91"/>
      <c r="D637" s="91"/>
      <c r="E637" s="91"/>
      <c r="F637" s="92"/>
      <c r="G637" s="92"/>
      <c r="H637" s="92"/>
      <c r="I637" s="92"/>
      <c r="J637" s="91"/>
      <c r="K637" s="91"/>
      <c r="L637" s="91"/>
      <c r="M637" s="91"/>
      <c r="N637" s="91"/>
      <c r="O637" s="91"/>
      <c r="P637" s="91"/>
      <c r="Q637" s="91"/>
      <c r="R637" s="91"/>
      <c r="S637" s="91"/>
      <c r="T637" s="91"/>
      <c r="U637" s="91"/>
      <c r="V637" s="91"/>
    </row>
    <row r="638" spans="1:22" ht="12" hidden="1" customHeight="1">
      <c r="A638" s="91"/>
      <c r="B638" s="91"/>
      <c r="C638" s="91"/>
      <c r="D638" s="91"/>
      <c r="E638" s="91"/>
      <c r="F638" s="92"/>
      <c r="G638" s="92"/>
      <c r="H638" s="92"/>
      <c r="I638" s="92"/>
      <c r="J638" s="91"/>
      <c r="K638" s="91"/>
      <c r="L638" s="91"/>
      <c r="M638" s="91"/>
      <c r="N638" s="91"/>
      <c r="O638" s="91"/>
      <c r="P638" s="91"/>
      <c r="Q638" s="91"/>
      <c r="R638" s="91"/>
      <c r="S638" s="91"/>
      <c r="T638" s="91"/>
      <c r="U638" s="91"/>
      <c r="V638" s="91"/>
    </row>
    <row r="639" spans="1:22" ht="12" hidden="1" customHeight="1">
      <c r="A639" s="91"/>
      <c r="B639" s="91"/>
      <c r="C639" s="91"/>
      <c r="D639" s="91"/>
      <c r="E639" s="91"/>
      <c r="F639" s="92"/>
      <c r="G639" s="92"/>
      <c r="H639" s="92"/>
      <c r="I639" s="92"/>
      <c r="J639" s="91"/>
      <c r="K639" s="91"/>
      <c r="L639" s="91"/>
      <c r="M639" s="91"/>
      <c r="N639" s="91"/>
      <c r="O639" s="91"/>
      <c r="P639" s="91"/>
      <c r="Q639" s="91"/>
      <c r="R639" s="91"/>
      <c r="S639" s="91"/>
      <c r="T639" s="91"/>
      <c r="U639" s="91"/>
      <c r="V639" s="91"/>
    </row>
    <row r="640" spans="1:22" ht="12" hidden="1" customHeight="1">
      <c r="A640" s="91"/>
      <c r="B640" s="91"/>
      <c r="C640" s="91"/>
      <c r="D640" s="91"/>
      <c r="E640" s="91"/>
      <c r="F640" s="92"/>
      <c r="G640" s="92"/>
      <c r="H640" s="92"/>
      <c r="I640" s="92"/>
      <c r="J640" s="91"/>
      <c r="K640" s="91"/>
      <c r="L640" s="91"/>
      <c r="M640" s="91"/>
      <c r="N640" s="91"/>
      <c r="O640" s="91"/>
      <c r="P640" s="91"/>
      <c r="Q640" s="91"/>
      <c r="R640" s="91"/>
      <c r="S640" s="91"/>
      <c r="T640" s="91"/>
      <c r="U640" s="91"/>
      <c r="V640" s="91"/>
    </row>
    <row r="641" spans="1:22" ht="12" hidden="1" customHeight="1">
      <c r="A641" s="91"/>
      <c r="B641" s="91"/>
      <c r="C641" s="91"/>
      <c r="D641" s="91"/>
      <c r="E641" s="91"/>
      <c r="F641" s="92"/>
      <c r="G641" s="92"/>
      <c r="H641" s="92"/>
      <c r="I641" s="92"/>
      <c r="J641" s="91"/>
      <c r="K641" s="91"/>
      <c r="L641" s="91"/>
      <c r="M641" s="91"/>
      <c r="N641" s="91"/>
      <c r="O641" s="91"/>
      <c r="P641" s="91"/>
      <c r="Q641" s="91"/>
      <c r="R641" s="91"/>
      <c r="S641" s="91"/>
      <c r="T641" s="91"/>
      <c r="U641" s="91"/>
      <c r="V641" s="91"/>
    </row>
    <row r="642" spans="1:22" ht="12" hidden="1" customHeight="1">
      <c r="A642" s="91"/>
      <c r="B642" s="91"/>
      <c r="C642" s="91"/>
      <c r="D642" s="91"/>
      <c r="E642" s="91"/>
      <c r="F642" s="92"/>
      <c r="G642" s="92"/>
      <c r="H642" s="92"/>
      <c r="I642" s="92"/>
      <c r="J642" s="91"/>
      <c r="K642" s="91"/>
      <c r="L642" s="91"/>
      <c r="M642" s="91"/>
      <c r="N642" s="91"/>
      <c r="O642" s="91"/>
      <c r="P642" s="91"/>
      <c r="Q642" s="91"/>
      <c r="R642" s="91"/>
      <c r="S642" s="91"/>
      <c r="T642" s="91"/>
      <c r="U642" s="91"/>
      <c r="V642" s="91"/>
    </row>
    <row r="643" spans="1:22" ht="12" hidden="1" customHeight="1">
      <c r="A643" s="91"/>
      <c r="B643" s="91"/>
      <c r="C643" s="91"/>
      <c r="D643" s="91"/>
      <c r="E643" s="91"/>
      <c r="F643" s="92"/>
      <c r="G643" s="92"/>
      <c r="H643" s="92"/>
      <c r="I643" s="92"/>
      <c r="J643" s="91"/>
      <c r="K643" s="91"/>
      <c r="L643" s="91"/>
      <c r="M643" s="91"/>
      <c r="N643" s="91"/>
      <c r="O643" s="91"/>
      <c r="P643" s="91"/>
      <c r="Q643" s="91"/>
      <c r="R643" s="91"/>
      <c r="S643" s="91"/>
      <c r="T643" s="91"/>
      <c r="U643" s="91"/>
      <c r="V643" s="91"/>
    </row>
    <row r="644" spans="1:22" ht="12" hidden="1" customHeight="1">
      <c r="A644" s="91"/>
      <c r="B644" s="91"/>
      <c r="C644" s="91"/>
      <c r="D644" s="91"/>
      <c r="E644" s="91"/>
      <c r="F644" s="92"/>
      <c r="G644" s="92"/>
      <c r="H644" s="92"/>
      <c r="I644" s="92"/>
      <c r="J644" s="91"/>
      <c r="K644" s="91"/>
      <c r="L644" s="91"/>
      <c r="M644" s="91"/>
      <c r="N644" s="91"/>
      <c r="O644" s="91"/>
      <c r="P644" s="91"/>
      <c r="Q644" s="91"/>
      <c r="R644" s="91"/>
      <c r="S644" s="91"/>
      <c r="T644" s="91"/>
      <c r="U644" s="91"/>
      <c r="V644" s="91"/>
    </row>
    <row r="645" spans="1:22" ht="12" hidden="1" customHeight="1">
      <c r="A645" s="91"/>
      <c r="B645" s="91"/>
      <c r="C645" s="91"/>
      <c r="D645" s="91"/>
      <c r="E645" s="91"/>
      <c r="F645" s="92"/>
      <c r="G645" s="92"/>
      <c r="H645" s="92"/>
      <c r="I645" s="92"/>
      <c r="J645" s="91"/>
      <c r="K645" s="91"/>
      <c r="L645" s="91"/>
      <c r="M645" s="91"/>
      <c r="N645" s="91"/>
      <c r="O645" s="91"/>
      <c r="P645" s="91"/>
      <c r="Q645" s="91"/>
      <c r="R645" s="91"/>
      <c r="S645" s="91"/>
      <c r="T645" s="91"/>
      <c r="U645" s="91"/>
      <c r="V645" s="91"/>
    </row>
    <row r="646" spans="1:22" ht="12" hidden="1" customHeight="1">
      <c r="A646" s="91"/>
      <c r="B646" s="91"/>
      <c r="C646" s="91"/>
      <c r="D646" s="91"/>
      <c r="E646" s="91"/>
      <c r="F646" s="92"/>
      <c r="G646" s="92"/>
      <c r="H646" s="92"/>
      <c r="I646" s="92"/>
      <c r="J646" s="91"/>
      <c r="K646" s="91"/>
      <c r="L646" s="91"/>
      <c r="M646" s="91"/>
      <c r="N646" s="91"/>
      <c r="O646" s="91"/>
      <c r="P646" s="91"/>
      <c r="Q646" s="91"/>
      <c r="R646" s="91"/>
      <c r="S646" s="91"/>
      <c r="T646" s="91"/>
      <c r="U646" s="91"/>
      <c r="V646" s="91"/>
    </row>
    <row r="647" spans="1:22" ht="12" hidden="1" customHeight="1">
      <c r="A647" s="91"/>
      <c r="B647" s="91"/>
      <c r="C647" s="91"/>
      <c r="D647" s="91"/>
      <c r="E647" s="91"/>
      <c r="F647" s="92"/>
      <c r="G647" s="92"/>
      <c r="H647" s="92"/>
      <c r="I647" s="92"/>
      <c r="J647" s="91"/>
      <c r="K647" s="91"/>
      <c r="L647" s="91"/>
      <c r="M647" s="91"/>
      <c r="N647" s="91"/>
      <c r="O647" s="91"/>
      <c r="P647" s="91"/>
      <c r="Q647" s="91"/>
      <c r="R647" s="91"/>
      <c r="S647" s="91"/>
      <c r="T647" s="91"/>
      <c r="U647" s="91"/>
      <c r="V647" s="91"/>
    </row>
    <row r="648" spans="1:22" ht="12" hidden="1" customHeight="1">
      <c r="A648" s="91"/>
      <c r="B648" s="91"/>
      <c r="C648" s="91"/>
      <c r="D648" s="91"/>
      <c r="E648" s="91"/>
      <c r="F648" s="92"/>
      <c r="G648" s="92"/>
      <c r="H648" s="92"/>
      <c r="I648" s="92"/>
      <c r="J648" s="91"/>
      <c r="K648" s="91"/>
      <c r="L648" s="91"/>
      <c r="M648" s="91"/>
      <c r="N648" s="91"/>
      <c r="O648" s="91"/>
      <c r="P648" s="91"/>
      <c r="Q648" s="91"/>
      <c r="R648" s="91"/>
      <c r="S648" s="91"/>
      <c r="T648" s="91"/>
      <c r="U648" s="91"/>
      <c r="V648" s="91"/>
    </row>
    <row r="649" spans="1:22" ht="12" hidden="1" customHeight="1">
      <c r="A649" s="91"/>
      <c r="B649" s="91"/>
      <c r="C649" s="91"/>
      <c r="D649" s="91"/>
      <c r="E649" s="91"/>
      <c r="F649" s="92"/>
      <c r="G649" s="92"/>
      <c r="H649" s="92"/>
      <c r="I649" s="92"/>
      <c r="J649" s="91"/>
      <c r="K649" s="91"/>
      <c r="L649" s="91"/>
      <c r="M649" s="91"/>
      <c r="N649" s="91"/>
      <c r="O649" s="91"/>
      <c r="P649" s="91"/>
      <c r="Q649" s="91"/>
      <c r="R649" s="91"/>
      <c r="S649" s="91"/>
      <c r="T649" s="91"/>
      <c r="U649" s="91"/>
      <c r="V649" s="91"/>
    </row>
    <row r="650" spans="1:22" ht="12" hidden="1" customHeight="1">
      <c r="A650" s="91"/>
      <c r="B650" s="91"/>
      <c r="C650" s="91"/>
      <c r="D650" s="91"/>
      <c r="E650" s="91"/>
      <c r="F650" s="92"/>
      <c r="G650" s="92"/>
      <c r="H650" s="92"/>
      <c r="I650" s="92"/>
      <c r="J650" s="91"/>
      <c r="K650" s="91"/>
      <c r="L650" s="91"/>
      <c r="M650" s="91"/>
      <c r="N650" s="91"/>
      <c r="O650" s="91"/>
      <c r="P650" s="91"/>
      <c r="Q650" s="91"/>
      <c r="R650" s="91"/>
      <c r="S650" s="91"/>
      <c r="T650" s="91"/>
      <c r="U650" s="91"/>
      <c r="V650" s="91"/>
    </row>
    <row r="651" spans="1:22" ht="12" hidden="1" customHeight="1">
      <c r="A651" s="91"/>
      <c r="B651" s="91"/>
      <c r="C651" s="91"/>
      <c r="D651" s="91"/>
      <c r="E651" s="91"/>
      <c r="F651" s="92"/>
      <c r="G651" s="92"/>
      <c r="H651" s="92"/>
      <c r="I651" s="92"/>
      <c r="J651" s="91"/>
      <c r="K651" s="91"/>
      <c r="L651" s="91"/>
      <c r="M651" s="91"/>
      <c r="N651" s="91"/>
      <c r="O651" s="91"/>
      <c r="P651" s="91"/>
      <c r="Q651" s="91"/>
      <c r="R651" s="91"/>
      <c r="S651" s="91"/>
      <c r="T651" s="91"/>
      <c r="U651" s="91"/>
      <c r="V651" s="91"/>
    </row>
    <row r="652" spans="1:22" ht="12" hidden="1" customHeight="1">
      <c r="A652" s="91"/>
      <c r="B652" s="91"/>
      <c r="C652" s="91"/>
      <c r="D652" s="91"/>
      <c r="E652" s="91"/>
      <c r="F652" s="92"/>
      <c r="G652" s="92"/>
      <c r="H652" s="92"/>
      <c r="I652" s="92"/>
      <c r="J652" s="91"/>
      <c r="K652" s="91"/>
      <c r="L652" s="91"/>
      <c r="M652" s="91"/>
      <c r="N652" s="91"/>
      <c r="O652" s="91"/>
      <c r="P652" s="91"/>
      <c r="Q652" s="91"/>
      <c r="R652" s="91"/>
      <c r="S652" s="91"/>
      <c r="T652" s="91"/>
      <c r="U652" s="91"/>
      <c r="V652" s="91"/>
    </row>
    <row r="653" spans="1:22" ht="12" hidden="1" customHeight="1">
      <c r="A653" s="91"/>
      <c r="B653" s="91"/>
      <c r="C653" s="91"/>
      <c r="D653" s="91"/>
      <c r="E653" s="91"/>
      <c r="F653" s="92"/>
      <c r="G653" s="92"/>
      <c r="H653" s="92"/>
      <c r="I653" s="92"/>
      <c r="J653" s="91"/>
      <c r="K653" s="91"/>
      <c r="L653" s="91"/>
      <c r="M653" s="91"/>
      <c r="N653" s="91"/>
      <c r="O653" s="91"/>
      <c r="P653" s="91"/>
      <c r="Q653" s="91"/>
      <c r="R653" s="91"/>
      <c r="S653" s="91"/>
      <c r="T653" s="91"/>
      <c r="U653" s="91"/>
      <c r="V653" s="91"/>
    </row>
    <row r="654" spans="1:22" ht="12" hidden="1" customHeight="1">
      <c r="A654" s="91"/>
      <c r="B654" s="91"/>
      <c r="C654" s="91"/>
      <c r="D654" s="91"/>
      <c r="E654" s="91"/>
      <c r="F654" s="92"/>
      <c r="G654" s="92"/>
      <c r="H654" s="92"/>
      <c r="I654" s="92"/>
      <c r="J654" s="91"/>
      <c r="K654" s="91"/>
      <c r="L654" s="91"/>
      <c r="M654" s="91"/>
      <c r="N654" s="91"/>
      <c r="O654" s="91"/>
      <c r="P654" s="91"/>
      <c r="Q654" s="91"/>
      <c r="R654" s="91"/>
      <c r="S654" s="91"/>
      <c r="T654" s="91"/>
      <c r="U654" s="91"/>
      <c r="V654" s="91"/>
    </row>
    <row r="655" spans="1:22" ht="12" hidden="1" customHeight="1">
      <c r="A655" s="91"/>
      <c r="B655" s="91"/>
      <c r="C655" s="91"/>
      <c r="D655" s="91"/>
      <c r="E655" s="91"/>
      <c r="F655" s="92"/>
      <c r="G655" s="92"/>
      <c r="H655" s="92"/>
      <c r="I655" s="92"/>
      <c r="J655" s="91"/>
      <c r="K655" s="91"/>
      <c r="L655" s="91"/>
      <c r="M655" s="91"/>
      <c r="N655" s="91"/>
      <c r="O655" s="91"/>
      <c r="P655" s="91"/>
      <c r="Q655" s="91"/>
      <c r="R655" s="91"/>
      <c r="S655" s="91"/>
      <c r="T655" s="91"/>
      <c r="U655" s="91"/>
      <c r="V655" s="91"/>
    </row>
    <row r="656" spans="1:22" ht="12" hidden="1" customHeight="1">
      <c r="A656" s="91"/>
      <c r="B656" s="91"/>
      <c r="C656" s="91"/>
      <c r="D656" s="91"/>
      <c r="E656" s="91"/>
      <c r="F656" s="92"/>
      <c r="G656" s="92"/>
      <c r="H656" s="92"/>
      <c r="I656" s="92"/>
      <c r="J656" s="91"/>
      <c r="K656" s="91"/>
      <c r="L656" s="91"/>
      <c r="M656" s="91"/>
      <c r="N656" s="91"/>
      <c r="O656" s="91"/>
      <c r="P656" s="91"/>
      <c r="Q656" s="91"/>
      <c r="R656" s="91"/>
      <c r="S656" s="91"/>
      <c r="T656" s="91"/>
      <c r="U656" s="91"/>
      <c r="V656" s="91"/>
    </row>
    <row r="657" spans="1:22" ht="12" hidden="1" customHeight="1">
      <c r="A657" s="91"/>
      <c r="B657" s="91"/>
      <c r="C657" s="91"/>
      <c r="D657" s="91"/>
      <c r="E657" s="91"/>
      <c r="F657" s="92"/>
      <c r="G657" s="92"/>
      <c r="H657" s="92"/>
      <c r="I657" s="92"/>
      <c r="J657" s="91"/>
      <c r="K657" s="91"/>
      <c r="L657" s="91"/>
      <c r="M657" s="91"/>
      <c r="N657" s="91"/>
      <c r="O657" s="91"/>
      <c r="P657" s="91"/>
      <c r="Q657" s="91"/>
      <c r="R657" s="91"/>
      <c r="S657" s="91"/>
      <c r="T657" s="91"/>
      <c r="U657" s="91"/>
      <c r="V657" s="91"/>
    </row>
    <row r="658" spans="1:22" ht="12" hidden="1" customHeight="1">
      <c r="A658" s="91"/>
      <c r="B658" s="91"/>
      <c r="C658" s="91"/>
      <c r="D658" s="91"/>
      <c r="E658" s="91"/>
      <c r="F658" s="92"/>
      <c r="G658" s="92"/>
      <c r="H658" s="92"/>
      <c r="I658" s="92"/>
      <c r="J658" s="91"/>
      <c r="K658" s="91"/>
      <c r="L658" s="91"/>
      <c r="M658" s="91"/>
      <c r="N658" s="91"/>
      <c r="O658" s="91"/>
      <c r="P658" s="91"/>
      <c r="Q658" s="91"/>
      <c r="R658" s="91"/>
      <c r="S658" s="91"/>
      <c r="T658" s="91"/>
      <c r="U658" s="91"/>
      <c r="V658" s="91"/>
    </row>
    <row r="659" spans="1:22" ht="12" hidden="1" customHeight="1">
      <c r="A659" s="91"/>
      <c r="B659" s="91"/>
      <c r="C659" s="91"/>
      <c r="D659" s="91"/>
      <c r="E659" s="91"/>
      <c r="F659" s="92"/>
      <c r="G659" s="92"/>
      <c r="H659" s="92"/>
      <c r="I659" s="92"/>
      <c r="J659" s="91"/>
      <c r="K659" s="91"/>
      <c r="L659" s="91"/>
      <c r="M659" s="91"/>
      <c r="N659" s="91"/>
      <c r="O659" s="91"/>
      <c r="P659" s="91"/>
      <c r="Q659" s="91"/>
      <c r="R659" s="91"/>
      <c r="S659" s="91"/>
      <c r="T659" s="91"/>
      <c r="U659" s="91"/>
      <c r="V659" s="91"/>
    </row>
    <row r="660" spans="1:22" ht="12" hidden="1" customHeight="1">
      <c r="A660" s="91"/>
      <c r="B660" s="91"/>
      <c r="C660" s="91"/>
      <c r="D660" s="91"/>
      <c r="E660" s="91"/>
      <c r="F660" s="92"/>
      <c r="G660" s="92"/>
      <c r="H660" s="92"/>
      <c r="I660" s="92"/>
      <c r="J660" s="91"/>
      <c r="K660" s="91"/>
      <c r="L660" s="91"/>
      <c r="M660" s="91"/>
      <c r="N660" s="91"/>
      <c r="O660" s="91"/>
      <c r="P660" s="91"/>
      <c r="Q660" s="91"/>
      <c r="R660" s="91"/>
      <c r="S660" s="91"/>
      <c r="T660" s="91"/>
      <c r="U660" s="91"/>
      <c r="V660" s="91"/>
    </row>
    <row r="661" spans="1:22" ht="12" hidden="1" customHeight="1">
      <c r="A661" s="91"/>
      <c r="B661" s="91"/>
      <c r="C661" s="91"/>
      <c r="D661" s="91"/>
      <c r="E661" s="91"/>
      <c r="F661" s="92"/>
      <c r="G661" s="92"/>
      <c r="H661" s="92"/>
      <c r="I661" s="92"/>
      <c r="J661" s="91"/>
      <c r="K661" s="91"/>
      <c r="L661" s="91"/>
      <c r="M661" s="91"/>
      <c r="N661" s="91"/>
      <c r="O661" s="91"/>
      <c r="P661" s="91"/>
      <c r="Q661" s="91"/>
      <c r="R661" s="91"/>
      <c r="S661" s="91"/>
      <c r="T661" s="91"/>
      <c r="U661" s="91"/>
      <c r="V661" s="91"/>
    </row>
    <row r="662" spans="1:22" ht="12" hidden="1" customHeight="1">
      <c r="A662" s="91"/>
      <c r="B662" s="91"/>
      <c r="C662" s="91"/>
      <c r="D662" s="91"/>
      <c r="E662" s="91"/>
      <c r="F662" s="92"/>
      <c r="G662" s="92"/>
      <c r="H662" s="92"/>
      <c r="I662" s="92"/>
      <c r="J662" s="91"/>
      <c r="K662" s="91"/>
      <c r="L662" s="91"/>
      <c r="M662" s="91"/>
      <c r="N662" s="91"/>
      <c r="O662" s="91"/>
      <c r="P662" s="91"/>
      <c r="Q662" s="91"/>
      <c r="R662" s="91"/>
      <c r="S662" s="91"/>
      <c r="T662" s="91"/>
      <c r="U662" s="91"/>
      <c r="V662" s="91"/>
    </row>
    <row r="663" spans="1:22" ht="12" hidden="1" customHeight="1">
      <c r="A663" s="91"/>
      <c r="B663" s="91"/>
      <c r="C663" s="91"/>
      <c r="D663" s="91"/>
      <c r="E663" s="91"/>
      <c r="F663" s="92"/>
      <c r="G663" s="92"/>
      <c r="H663" s="92"/>
      <c r="I663" s="92"/>
      <c r="J663" s="91"/>
      <c r="K663" s="91"/>
      <c r="L663" s="91"/>
      <c r="M663" s="91"/>
      <c r="N663" s="91"/>
      <c r="O663" s="91"/>
      <c r="P663" s="91"/>
      <c r="Q663" s="91"/>
      <c r="R663" s="91"/>
      <c r="S663" s="91"/>
      <c r="T663" s="91"/>
      <c r="U663" s="91"/>
      <c r="V663" s="91"/>
    </row>
    <row r="664" spans="1:22" ht="12" hidden="1" customHeight="1">
      <c r="A664" s="91"/>
      <c r="B664" s="91"/>
      <c r="C664" s="91"/>
      <c r="D664" s="91"/>
      <c r="E664" s="91"/>
      <c r="F664" s="92"/>
      <c r="G664" s="92"/>
      <c r="H664" s="92"/>
      <c r="I664" s="92"/>
      <c r="J664" s="91"/>
      <c r="K664" s="91"/>
      <c r="L664" s="91"/>
      <c r="M664" s="91"/>
      <c r="N664" s="91"/>
      <c r="O664" s="91"/>
      <c r="P664" s="91"/>
      <c r="Q664" s="91"/>
      <c r="R664" s="91"/>
      <c r="S664" s="91"/>
      <c r="T664" s="91"/>
      <c r="U664" s="91"/>
      <c r="V664" s="91"/>
    </row>
    <row r="665" spans="1:22" ht="12" hidden="1" customHeight="1">
      <c r="A665" s="91"/>
      <c r="B665" s="91"/>
      <c r="C665" s="91"/>
      <c r="D665" s="91"/>
      <c r="E665" s="91"/>
      <c r="F665" s="92"/>
      <c r="G665" s="92"/>
      <c r="H665" s="92"/>
      <c r="I665" s="92"/>
      <c r="J665" s="91"/>
      <c r="K665" s="91"/>
      <c r="L665" s="91"/>
      <c r="M665" s="91"/>
      <c r="N665" s="91"/>
      <c r="O665" s="91"/>
      <c r="P665" s="91"/>
      <c r="Q665" s="91"/>
      <c r="R665" s="91"/>
      <c r="S665" s="91"/>
      <c r="T665" s="91"/>
      <c r="U665" s="91"/>
      <c r="V665" s="91"/>
    </row>
    <row r="666" spans="1:22" ht="12" hidden="1" customHeight="1">
      <c r="A666" s="91"/>
      <c r="B666" s="91"/>
      <c r="C666" s="91"/>
      <c r="D666" s="91"/>
      <c r="E666" s="91"/>
      <c r="F666" s="92"/>
      <c r="G666" s="92"/>
      <c r="H666" s="92"/>
      <c r="I666" s="92"/>
      <c r="J666" s="91"/>
      <c r="K666" s="91"/>
      <c r="L666" s="91"/>
      <c r="M666" s="91"/>
      <c r="N666" s="91"/>
      <c r="O666" s="91"/>
      <c r="P666" s="91"/>
      <c r="Q666" s="91"/>
      <c r="R666" s="91"/>
      <c r="S666" s="91"/>
      <c r="T666" s="91"/>
      <c r="U666" s="91"/>
      <c r="V666" s="91"/>
    </row>
    <row r="667" spans="1:22" ht="12" hidden="1" customHeight="1">
      <c r="A667" s="91"/>
      <c r="B667" s="91"/>
      <c r="C667" s="91"/>
      <c r="D667" s="91"/>
      <c r="E667" s="91"/>
      <c r="F667" s="92"/>
      <c r="G667" s="92"/>
      <c r="H667" s="92"/>
      <c r="I667" s="92"/>
      <c r="J667" s="91"/>
      <c r="K667" s="91"/>
      <c r="L667" s="91"/>
      <c r="M667" s="91"/>
      <c r="N667" s="91"/>
      <c r="O667" s="91"/>
      <c r="P667" s="91"/>
      <c r="Q667" s="91"/>
      <c r="R667" s="91"/>
      <c r="S667" s="91"/>
      <c r="T667" s="91"/>
      <c r="U667" s="91"/>
      <c r="V667" s="91"/>
    </row>
    <row r="668" spans="1:22" ht="12" hidden="1" customHeight="1">
      <c r="A668" s="91"/>
      <c r="B668" s="91"/>
      <c r="C668" s="91"/>
      <c r="D668" s="91"/>
      <c r="E668" s="91"/>
      <c r="F668" s="92"/>
      <c r="G668" s="92"/>
      <c r="H668" s="92"/>
      <c r="I668" s="92"/>
      <c r="J668" s="91"/>
      <c r="K668" s="91"/>
      <c r="L668" s="91"/>
      <c r="M668" s="91"/>
      <c r="N668" s="91"/>
      <c r="O668" s="91"/>
      <c r="P668" s="91"/>
      <c r="Q668" s="91"/>
      <c r="R668" s="91"/>
      <c r="S668" s="91"/>
      <c r="T668" s="91"/>
      <c r="U668" s="91"/>
      <c r="V668" s="91"/>
    </row>
    <row r="669" spans="1:22" ht="12" hidden="1" customHeight="1">
      <c r="A669" s="91"/>
      <c r="B669" s="91"/>
      <c r="C669" s="91"/>
      <c r="D669" s="91"/>
      <c r="E669" s="91"/>
      <c r="F669" s="92"/>
      <c r="G669" s="92"/>
      <c r="H669" s="92"/>
      <c r="I669" s="92"/>
      <c r="J669" s="91"/>
      <c r="K669" s="91"/>
      <c r="L669" s="91"/>
      <c r="M669" s="91"/>
      <c r="N669" s="91"/>
      <c r="O669" s="91"/>
      <c r="P669" s="91"/>
      <c r="Q669" s="91"/>
      <c r="R669" s="91"/>
      <c r="S669" s="91"/>
      <c r="T669" s="91"/>
      <c r="U669" s="91"/>
      <c r="V669" s="91"/>
    </row>
    <row r="670" spans="1:22" ht="12" hidden="1" customHeight="1">
      <c r="A670" s="91"/>
      <c r="B670" s="91"/>
      <c r="C670" s="91"/>
      <c r="D670" s="91"/>
      <c r="E670" s="91"/>
      <c r="F670" s="92"/>
      <c r="G670" s="92"/>
      <c r="H670" s="92"/>
      <c r="I670" s="92"/>
      <c r="J670" s="91"/>
      <c r="K670" s="91"/>
      <c r="L670" s="91"/>
      <c r="M670" s="91"/>
      <c r="N670" s="91"/>
      <c r="O670" s="91"/>
      <c r="P670" s="91"/>
      <c r="Q670" s="91"/>
      <c r="R670" s="91"/>
      <c r="S670" s="91"/>
      <c r="T670" s="91"/>
      <c r="U670" s="91"/>
      <c r="V670" s="91"/>
    </row>
    <row r="671" spans="1:22" ht="12" hidden="1" customHeight="1">
      <c r="A671" s="91"/>
      <c r="B671" s="91"/>
      <c r="C671" s="91"/>
      <c r="D671" s="91"/>
      <c r="E671" s="91"/>
      <c r="F671" s="92"/>
      <c r="G671" s="92"/>
      <c r="H671" s="92"/>
      <c r="I671" s="92"/>
      <c r="J671" s="91"/>
      <c r="K671" s="91"/>
      <c r="L671" s="91"/>
      <c r="M671" s="91"/>
      <c r="N671" s="91"/>
      <c r="O671" s="91"/>
      <c r="P671" s="91"/>
      <c r="Q671" s="91"/>
      <c r="R671" s="91"/>
      <c r="S671" s="91"/>
      <c r="T671" s="91"/>
      <c r="U671" s="91"/>
      <c r="V671" s="91"/>
    </row>
    <row r="672" spans="1:22" ht="12" hidden="1" customHeight="1">
      <c r="A672" s="91"/>
      <c r="B672" s="91"/>
      <c r="C672" s="91"/>
      <c r="D672" s="91"/>
      <c r="E672" s="91"/>
      <c r="F672" s="92"/>
      <c r="G672" s="92"/>
      <c r="H672" s="92"/>
      <c r="I672" s="92"/>
      <c r="J672" s="91"/>
      <c r="K672" s="91"/>
      <c r="L672" s="91"/>
      <c r="M672" s="91"/>
      <c r="N672" s="91"/>
      <c r="O672" s="91"/>
      <c r="P672" s="91"/>
      <c r="Q672" s="91"/>
      <c r="R672" s="91"/>
      <c r="S672" s="91"/>
      <c r="T672" s="91"/>
      <c r="U672" s="91"/>
      <c r="V672" s="91"/>
    </row>
    <row r="673" spans="1:22" ht="12" hidden="1" customHeight="1">
      <c r="A673" s="91"/>
      <c r="B673" s="91"/>
      <c r="C673" s="91"/>
      <c r="D673" s="91"/>
      <c r="E673" s="91"/>
      <c r="F673" s="92"/>
      <c r="G673" s="92"/>
      <c r="H673" s="92"/>
      <c r="I673" s="92"/>
      <c r="J673" s="91"/>
      <c r="K673" s="91"/>
      <c r="L673" s="91"/>
      <c r="M673" s="91"/>
      <c r="N673" s="91"/>
      <c r="O673" s="91"/>
      <c r="P673" s="91"/>
      <c r="Q673" s="91"/>
      <c r="R673" s="91"/>
      <c r="S673" s="91"/>
      <c r="T673" s="91"/>
      <c r="U673" s="91"/>
      <c r="V673" s="91"/>
    </row>
    <row r="674" spans="1:22" ht="12" hidden="1" customHeight="1">
      <c r="A674" s="91"/>
      <c r="B674" s="91"/>
      <c r="C674" s="91"/>
      <c r="D674" s="91"/>
      <c r="E674" s="91"/>
      <c r="F674" s="92"/>
      <c r="G674" s="92"/>
      <c r="H674" s="92"/>
      <c r="I674" s="92"/>
      <c r="J674" s="91"/>
      <c r="K674" s="91"/>
      <c r="L674" s="91"/>
      <c r="M674" s="91"/>
      <c r="N674" s="91"/>
      <c r="O674" s="91"/>
      <c r="P674" s="91"/>
      <c r="Q674" s="91"/>
      <c r="R674" s="91"/>
      <c r="S674" s="91"/>
      <c r="T674" s="91"/>
      <c r="U674" s="91"/>
      <c r="V674" s="91"/>
    </row>
    <row r="675" spans="1:22" ht="12" hidden="1" customHeight="1">
      <c r="A675" s="91"/>
      <c r="B675" s="91"/>
      <c r="C675" s="91"/>
      <c r="D675" s="91"/>
      <c r="E675" s="91"/>
      <c r="F675" s="92"/>
      <c r="G675" s="92"/>
      <c r="H675" s="92"/>
      <c r="I675" s="92"/>
      <c r="J675" s="91"/>
      <c r="K675" s="91"/>
      <c r="L675" s="91"/>
      <c r="M675" s="91"/>
      <c r="N675" s="91"/>
      <c r="O675" s="91"/>
      <c r="P675" s="91"/>
      <c r="Q675" s="91"/>
      <c r="R675" s="91"/>
      <c r="S675" s="91"/>
      <c r="T675" s="91"/>
      <c r="U675" s="91"/>
      <c r="V675" s="91"/>
    </row>
    <row r="676" spans="1:22" ht="12" hidden="1" customHeight="1">
      <c r="A676" s="91"/>
      <c r="B676" s="91"/>
      <c r="C676" s="91"/>
      <c r="D676" s="91"/>
      <c r="E676" s="91"/>
      <c r="F676" s="92"/>
      <c r="G676" s="92"/>
      <c r="H676" s="92"/>
      <c r="I676" s="92"/>
      <c r="J676" s="91"/>
      <c r="K676" s="91"/>
      <c r="L676" s="91"/>
      <c r="M676" s="91"/>
      <c r="N676" s="91"/>
      <c r="O676" s="91"/>
      <c r="P676" s="91"/>
      <c r="Q676" s="91"/>
      <c r="R676" s="91"/>
      <c r="S676" s="91"/>
      <c r="T676" s="91"/>
      <c r="U676" s="91"/>
      <c r="V676" s="91"/>
    </row>
    <row r="677" spans="1:22" ht="12" hidden="1" customHeight="1">
      <c r="A677" s="91"/>
      <c r="B677" s="91"/>
      <c r="C677" s="91"/>
      <c r="D677" s="91"/>
      <c r="E677" s="91"/>
      <c r="F677" s="92"/>
      <c r="G677" s="92"/>
      <c r="H677" s="92"/>
      <c r="I677" s="92"/>
      <c r="J677" s="91"/>
      <c r="K677" s="91"/>
      <c r="L677" s="91"/>
      <c r="M677" s="91"/>
      <c r="N677" s="91"/>
      <c r="O677" s="91"/>
      <c r="P677" s="91"/>
      <c r="Q677" s="91"/>
      <c r="R677" s="91"/>
      <c r="S677" s="91"/>
      <c r="T677" s="91"/>
      <c r="U677" s="91"/>
      <c r="V677" s="91"/>
    </row>
    <row r="678" spans="1:22" ht="12" hidden="1" customHeight="1">
      <c r="A678" s="91"/>
      <c r="B678" s="91"/>
      <c r="C678" s="91"/>
      <c r="D678" s="91"/>
      <c r="E678" s="91"/>
      <c r="F678" s="92"/>
      <c r="G678" s="92"/>
      <c r="H678" s="92"/>
      <c r="I678" s="92"/>
      <c r="J678" s="91"/>
      <c r="K678" s="91"/>
      <c r="L678" s="91"/>
      <c r="M678" s="91"/>
      <c r="N678" s="91"/>
      <c r="O678" s="91"/>
      <c r="P678" s="91"/>
      <c r="Q678" s="91"/>
      <c r="R678" s="91"/>
      <c r="S678" s="91"/>
      <c r="T678" s="91"/>
      <c r="U678" s="91"/>
      <c r="V678" s="91"/>
    </row>
    <row r="679" spans="1:22" ht="12" hidden="1" customHeight="1">
      <c r="A679" s="91"/>
      <c r="B679" s="91"/>
      <c r="C679" s="91"/>
      <c r="D679" s="91"/>
      <c r="E679" s="91"/>
      <c r="F679" s="92"/>
      <c r="G679" s="92"/>
      <c r="H679" s="92"/>
      <c r="I679" s="92"/>
      <c r="J679" s="91"/>
      <c r="K679" s="91"/>
      <c r="L679" s="91"/>
      <c r="M679" s="91"/>
      <c r="N679" s="91"/>
      <c r="O679" s="91"/>
      <c r="P679" s="91"/>
      <c r="Q679" s="91"/>
      <c r="R679" s="91"/>
      <c r="S679" s="91"/>
      <c r="T679" s="91"/>
      <c r="U679" s="91"/>
      <c r="V679" s="91"/>
    </row>
    <row r="680" spans="1:22" ht="12" hidden="1" customHeight="1">
      <c r="A680" s="91"/>
      <c r="B680" s="91"/>
      <c r="C680" s="91"/>
      <c r="D680" s="91"/>
      <c r="E680" s="91"/>
      <c r="F680" s="92"/>
      <c r="G680" s="92"/>
      <c r="H680" s="92"/>
      <c r="I680" s="92"/>
      <c r="J680" s="91"/>
      <c r="K680" s="91"/>
      <c r="L680" s="91"/>
      <c r="M680" s="91"/>
      <c r="N680" s="91"/>
      <c r="O680" s="91"/>
      <c r="P680" s="91"/>
      <c r="Q680" s="91"/>
      <c r="R680" s="91"/>
      <c r="S680" s="91"/>
      <c r="T680" s="91"/>
      <c r="U680" s="91"/>
      <c r="V680" s="91"/>
    </row>
    <row r="681" spans="1:22" ht="12" hidden="1" customHeight="1">
      <c r="A681" s="91"/>
      <c r="B681" s="91"/>
      <c r="C681" s="91"/>
      <c r="D681" s="91"/>
      <c r="E681" s="91"/>
      <c r="F681" s="92"/>
      <c r="G681" s="92"/>
      <c r="H681" s="92"/>
      <c r="I681" s="92"/>
      <c r="J681" s="91"/>
      <c r="K681" s="91"/>
      <c r="L681" s="91"/>
      <c r="M681" s="91"/>
      <c r="N681" s="91"/>
      <c r="O681" s="91"/>
      <c r="P681" s="91"/>
      <c r="Q681" s="91"/>
      <c r="R681" s="91"/>
      <c r="S681" s="91"/>
      <c r="T681" s="91"/>
      <c r="U681" s="91"/>
      <c r="V681" s="91"/>
    </row>
    <row r="682" spans="1:22" ht="12" hidden="1" customHeight="1">
      <c r="A682" s="91"/>
      <c r="B682" s="91"/>
      <c r="C682" s="91"/>
      <c r="D682" s="91"/>
      <c r="E682" s="91"/>
      <c r="F682" s="92"/>
      <c r="G682" s="92"/>
      <c r="H682" s="92"/>
      <c r="I682" s="92"/>
      <c r="J682" s="91"/>
      <c r="K682" s="91"/>
      <c r="L682" s="91"/>
      <c r="M682" s="91"/>
      <c r="N682" s="91"/>
      <c r="O682" s="91"/>
      <c r="P682" s="91"/>
      <c r="Q682" s="91"/>
      <c r="R682" s="91"/>
      <c r="S682" s="91"/>
      <c r="T682" s="91"/>
      <c r="U682" s="91"/>
      <c r="V682" s="91"/>
    </row>
    <row r="683" spans="1:22" ht="12" hidden="1" customHeight="1">
      <c r="A683" s="91"/>
      <c r="B683" s="91"/>
      <c r="C683" s="91"/>
      <c r="D683" s="91"/>
      <c r="E683" s="91"/>
      <c r="F683" s="92"/>
      <c r="G683" s="92"/>
      <c r="H683" s="92"/>
      <c r="I683" s="92"/>
      <c r="J683" s="91"/>
      <c r="K683" s="91"/>
      <c r="L683" s="91"/>
      <c r="M683" s="91"/>
      <c r="N683" s="91"/>
      <c r="O683" s="91"/>
      <c r="P683" s="91"/>
      <c r="Q683" s="91"/>
      <c r="R683" s="91"/>
      <c r="S683" s="91"/>
      <c r="T683" s="91"/>
      <c r="U683" s="91"/>
      <c r="V683" s="91"/>
    </row>
    <row r="684" spans="1:22" ht="12" hidden="1" customHeight="1">
      <c r="A684" s="91"/>
      <c r="B684" s="91"/>
      <c r="C684" s="91"/>
      <c r="D684" s="91"/>
      <c r="E684" s="91"/>
      <c r="F684" s="92"/>
      <c r="G684" s="92"/>
      <c r="H684" s="92"/>
      <c r="I684" s="92"/>
      <c r="J684" s="91"/>
      <c r="K684" s="91"/>
      <c r="L684" s="91"/>
      <c r="M684" s="91"/>
      <c r="N684" s="91"/>
      <c r="O684" s="91"/>
      <c r="P684" s="91"/>
      <c r="Q684" s="91"/>
      <c r="R684" s="91"/>
      <c r="S684" s="91"/>
      <c r="T684" s="91"/>
      <c r="U684" s="91"/>
      <c r="V684" s="91"/>
    </row>
    <row r="685" spans="1:22" ht="12" hidden="1" customHeight="1">
      <c r="A685" s="91"/>
      <c r="B685" s="91"/>
      <c r="C685" s="91"/>
      <c r="D685" s="91"/>
      <c r="E685" s="91"/>
      <c r="F685" s="92"/>
      <c r="G685" s="92"/>
      <c r="H685" s="92"/>
      <c r="I685" s="92"/>
      <c r="J685" s="91"/>
      <c r="K685" s="91"/>
      <c r="L685" s="91"/>
      <c r="M685" s="91"/>
      <c r="N685" s="91"/>
      <c r="O685" s="91"/>
      <c r="P685" s="91"/>
      <c r="Q685" s="91"/>
      <c r="R685" s="91"/>
      <c r="S685" s="91"/>
      <c r="T685" s="91"/>
      <c r="U685" s="91"/>
      <c r="V685" s="91"/>
    </row>
    <row r="686" spans="1:22" ht="12" hidden="1" customHeight="1">
      <c r="A686" s="91"/>
      <c r="B686" s="91"/>
      <c r="C686" s="91"/>
      <c r="D686" s="91"/>
      <c r="E686" s="91"/>
      <c r="F686" s="92"/>
      <c r="G686" s="92"/>
      <c r="H686" s="92"/>
      <c r="I686" s="92"/>
      <c r="J686" s="91"/>
      <c r="K686" s="91"/>
      <c r="L686" s="91"/>
      <c r="M686" s="91"/>
      <c r="N686" s="91"/>
      <c r="O686" s="91"/>
      <c r="P686" s="91"/>
      <c r="Q686" s="91"/>
      <c r="R686" s="91"/>
      <c r="S686" s="91"/>
      <c r="T686" s="91"/>
      <c r="U686" s="91"/>
      <c r="V686" s="91"/>
    </row>
    <row r="687" spans="1:22" ht="12" hidden="1" customHeight="1">
      <c r="A687" s="91"/>
      <c r="B687" s="91"/>
      <c r="C687" s="91"/>
      <c r="D687" s="91"/>
      <c r="E687" s="91"/>
      <c r="F687" s="92"/>
      <c r="G687" s="92"/>
      <c r="H687" s="92"/>
      <c r="I687" s="92"/>
      <c r="J687" s="91"/>
      <c r="K687" s="91"/>
      <c r="L687" s="91"/>
      <c r="M687" s="91"/>
      <c r="N687" s="91"/>
      <c r="O687" s="91"/>
      <c r="P687" s="91"/>
      <c r="Q687" s="91"/>
      <c r="R687" s="91"/>
      <c r="S687" s="91"/>
      <c r="T687" s="91"/>
      <c r="U687" s="91"/>
      <c r="V687" s="91"/>
    </row>
    <row r="688" spans="1:22" ht="12" hidden="1" customHeight="1">
      <c r="A688" s="91"/>
      <c r="B688" s="91"/>
      <c r="C688" s="91"/>
      <c r="D688" s="91"/>
      <c r="E688" s="91"/>
      <c r="F688" s="92"/>
      <c r="G688" s="92"/>
      <c r="H688" s="92"/>
      <c r="I688" s="92"/>
      <c r="J688" s="91"/>
      <c r="K688" s="91"/>
      <c r="L688" s="91"/>
      <c r="M688" s="91"/>
      <c r="N688" s="91"/>
      <c r="O688" s="91"/>
      <c r="P688" s="91"/>
      <c r="Q688" s="91"/>
      <c r="R688" s="91"/>
      <c r="S688" s="91"/>
      <c r="T688" s="91"/>
      <c r="U688" s="91"/>
      <c r="V688" s="91"/>
    </row>
    <row r="689" spans="1:22" ht="12" hidden="1" customHeight="1">
      <c r="A689" s="91"/>
      <c r="B689" s="91"/>
      <c r="C689" s="91"/>
      <c r="D689" s="91"/>
      <c r="E689" s="91"/>
      <c r="F689" s="92"/>
      <c r="G689" s="92"/>
      <c r="H689" s="92"/>
      <c r="I689" s="92"/>
      <c r="J689" s="91"/>
      <c r="K689" s="91"/>
      <c r="L689" s="91"/>
      <c r="M689" s="91"/>
      <c r="N689" s="91"/>
      <c r="O689" s="91"/>
      <c r="P689" s="91"/>
      <c r="Q689" s="91"/>
      <c r="R689" s="91"/>
      <c r="S689" s="91"/>
      <c r="T689" s="91"/>
      <c r="U689" s="91"/>
      <c r="V689" s="91"/>
    </row>
    <row r="690" spans="1:22" ht="12" hidden="1" customHeight="1">
      <c r="A690" s="91"/>
      <c r="B690" s="91"/>
      <c r="C690" s="91"/>
      <c r="D690" s="91"/>
      <c r="E690" s="91"/>
      <c r="F690" s="92"/>
      <c r="G690" s="92"/>
      <c r="H690" s="92"/>
      <c r="I690" s="92"/>
      <c r="J690" s="91"/>
      <c r="K690" s="91"/>
      <c r="L690" s="91"/>
      <c r="M690" s="91"/>
      <c r="N690" s="91"/>
      <c r="O690" s="91"/>
      <c r="P690" s="91"/>
      <c r="Q690" s="91"/>
      <c r="R690" s="91"/>
      <c r="S690" s="91"/>
      <c r="T690" s="91"/>
      <c r="U690" s="91"/>
      <c r="V690" s="91"/>
    </row>
    <row r="691" spans="1:22" ht="12" hidden="1" customHeight="1">
      <c r="A691" s="91"/>
      <c r="B691" s="91"/>
      <c r="C691" s="91"/>
      <c r="D691" s="91"/>
      <c r="E691" s="91"/>
      <c r="F691" s="92"/>
      <c r="G691" s="92"/>
      <c r="H691" s="92"/>
      <c r="I691" s="92"/>
      <c r="J691" s="91"/>
      <c r="K691" s="91"/>
      <c r="L691" s="91"/>
      <c r="M691" s="91"/>
      <c r="N691" s="91"/>
      <c r="O691" s="91"/>
      <c r="P691" s="91"/>
      <c r="Q691" s="91"/>
      <c r="R691" s="91"/>
      <c r="S691" s="91"/>
      <c r="T691" s="91"/>
      <c r="U691" s="91"/>
      <c r="V691" s="91"/>
    </row>
    <row r="692" spans="1:22" ht="12" hidden="1" customHeight="1">
      <c r="A692" s="91"/>
      <c r="B692" s="91"/>
      <c r="C692" s="91"/>
      <c r="D692" s="91"/>
      <c r="E692" s="91"/>
      <c r="F692" s="92"/>
      <c r="G692" s="92"/>
      <c r="H692" s="92"/>
      <c r="I692" s="92"/>
      <c r="J692" s="91"/>
      <c r="K692" s="91"/>
      <c r="L692" s="91"/>
      <c r="M692" s="91"/>
      <c r="N692" s="91"/>
      <c r="O692" s="91"/>
      <c r="P692" s="91"/>
      <c r="Q692" s="91"/>
      <c r="R692" s="91"/>
      <c r="S692" s="91"/>
      <c r="T692" s="91"/>
      <c r="U692" s="91"/>
      <c r="V692" s="91"/>
    </row>
    <row r="693" spans="1:22" ht="12" hidden="1" customHeight="1">
      <c r="A693" s="91"/>
      <c r="B693" s="91"/>
      <c r="C693" s="91"/>
      <c r="D693" s="91"/>
      <c r="E693" s="91"/>
      <c r="F693" s="92"/>
      <c r="G693" s="92"/>
      <c r="H693" s="92"/>
      <c r="I693" s="92"/>
      <c r="J693" s="91"/>
      <c r="K693" s="91"/>
      <c r="L693" s="91"/>
      <c r="M693" s="91"/>
      <c r="N693" s="91"/>
      <c r="O693" s="91"/>
      <c r="P693" s="91"/>
      <c r="Q693" s="91"/>
      <c r="R693" s="91"/>
      <c r="S693" s="91"/>
      <c r="T693" s="91"/>
      <c r="U693" s="91"/>
      <c r="V693" s="91"/>
    </row>
    <row r="694" spans="1:22" ht="12" hidden="1" customHeight="1">
      <c r="A694" s="91"/>
      <c r="B694" s="91"/>
      <c r="C694" s="91"/>
      <c r="D694" s="91"/>
      <c r="E694" s="91"/>
      <c r="F694" s="92"/>
      <c r="G694" s="92"/>
      <c r="H694" s="92"/>
      <c r="I694" s="92"/>
      <c r="J694" s="91"/>
      <c r="K694" s="91"/>
      <c r="L694" s="91"/>
      <c r="M694" s="91"/>
      <c r="N694" s="91"/>
      <c r="O694" s="91"/>
      <c r="P694" s="91"/>
      <c r="Q694" s="91"/>
      <c r="R694" s="91"/>
      <c r="S694" s="91"/>
      <c r="T694" s="91"/>
      <c r="U694" s="91"/>
      <c r="V694" s="91"/>
    </row>
    <row r="695" spans="1:22" ht="12" hidden="1" customHeight="1">
      <c r="A695" s="91"/>
      <c r="B695" s="91"/>
      <c r="C695" s="91"/>
      <c r="D695" s="91"/>
      <c r="E695" s="91"/>
      <c r="F695" s="92"/>
      <c r="G695" s="92"/>
      <c r="H695" s="92"/>
      <c r="I695" s="92"/>
      <c r="J695" s="91"/>
      <c r="K695" s="91"/>
      <c r="L695" s="91"/>
      <c r="M695" s="91"/>
      <c r="N695" s="91"/>
      <c r="O695" s="91"/>
      <c r="P695" s="91"/>
      <c r="Q695" s="91"/>
      <c r="R695" s="91"/>
      <c r="S695" s="91"/>
      <c r="T695" s="91"/>
      <c r="U695" s="91"/>
      <c r="V695" s="91"/>
    </row>
    <row r="696" spans="1:22" ht="12" hidden="1" customHeight="1">
      <c r="A696" s="91"/>
      <c r="B696" s="91"/>
      <c r="C696" s="91"/>
      <c r="D696" s="91"/>
      <c r="E696" s="91"/>
      <c r="F696" s="92"/>
      <c r="G696" s="92"/>
      <c r="H696" s="92"/>
      <c r="I696" s="92"/>
      <c r="J696" s="91"/>
      <c r="K696" s="91"/>
      <c r="L696" s="91"/>
      <c r="M696" s="91"/>
      <c r="N696" s="91"/>
      <c r="O696" s="91"/>
      <c r="P696" s="91"/>
      <c r="Q696" s="91"/>
      <c r="R696" s="91"/>
      <c r="S696" s="91"/>
      <c r="T696" s="91"/>
      <c r="U696" s="91"/>
      <c r="V696" s="91"/>
    </row>
    <row r="697" spans="1:22" ht="12" hidden="1" customHeight="1">
      <c r="A697" s="91"/>
      <c r="B697" s="91"/>
      <c r="C697" s="91"/>
      <c r="D697" s="91"/>
      <c r="E697" s="91"/>
      <c r="F697" s="92"/>
      <c r="G697" s="92"/>
      <c r="H697" s="92"/>
      <c r="I697" s="92"/>
      <c r="J697" s="91"/>
      <c r="K697" s="91"/>
      <c r="L697" s="91"/>
      <c r="M697" s="91"/>
      <c r="N697" s="91"/>
      <c r="O697" s="91"/>
      <c r="P697" s="91"/>
      <c r="Q697" s="91"/>
      <c r="R697" s="91"/>
      <c r="S697" s="91"/>
      <c r="T697" s="91"/>
      <c r="U697" s="91"/>
      <c r="V697" s="91"/>
    </row>
    <row r="698" spans="1:22" ht="12" hidden="1" customHeight="1">
      <c r="A698" s="91"/>
      <c r="B698" s="91"/>
      <c r="C698" s="91"/>
      <c r="D698" s="91"/>
      <c r="E698" s="91"/>
      <c r="F698" s="92"/>
      <c r="G698" s="92"/>
      <c r="H698" s="92"/>
      <c r="I698" s="92"/>
      <c r="J698" s="91"/>
      <c r="K698" s="91"/>
      <c r="L698" s="91"/>
      <c r="M698" s="91"/>
      <c r="N698" s="91"/>
      <c r="O698" s="91"/>
      <c r="P698" s="91"/>
      <c r="Q698" s="91"/>
      <c r="R698" s="91"/>
      <c r="S698" s="91"/>
      <c r="T698" s="91"/>
      <c r="U698" s="91"/>
      <c r="V698" s="91"/>
    </row>
    <row r="699" spans="1:22" ht="12" hidden="1" customHeight="1">
      <c r="A699" s="91"/>
      <c r="B699" s="91"/>
      <c r="C699" s="91"/>
      <c r="D699" s="91"/>
      <c r="E699" s="91"/>
      <c r="F699" s="92"/>
      <c r="G699" s="92"/>
      <c r="H699" s="92"/>
      <c r="I699" s="92"/>
      <c r="J699" s="91"/>
      <c r="K699" s="91"/>
      <c r="L699" s="91"/>
      <c r="M699" s="91"/>
      <c r="N699" s="91"/>
      <c r="O699" s="91"/>
      <c r="P699" s="91"/>
      <c r="Q699" s="91"/>
      <c r="R699" s="91"/>
      <c r="S699" s="91"/>
      <c r="T699" s="91"/>
      <c r="U699" s="91"/>
      <c r="V699" s="91"/>
    </row>
    <row r="700" spans="1:22" ht="12" hidden="1" customHeight="1">
      <c r="A700" s="91"/>
      <c r="B700" s="91"/>
      <c r="C700" s="91"/>
      <c r="D700" s="91"/>
      <c r="E700" s="91"/>
      <c r="F700" s="92"/>
      <c r="G700" s="92"/>
      <c r="H700" s="92"/>
      <c r="I700" s="92"/>
      <c r="J700" s="91"/>
      <c r="K700" s="91"/>
      <c r="L700" s="91"/>
      <c r="M700" s="91"/>
      <c r="N700" s="91"/>
      <c r="O700" s="91"/>
      <c r="P700" s="91"/>
      <c r="Q700" s="91"/>
      <c r="R700" s="91"/>
      <c r="S700" s="91"/>
      <c r="T700" s="91"/>
      <c r="U700" s="91"/>
      <c r="V700" s="91"/>
    </row>
    <row r="701" spans="1:22" ht="12" hidden="1" customHeight="1">
      <c r="A701" s="91"/>
      <c r="B701" s="91"/>
      <c r="C701" s="91"/>
      <c r="D701" s="91"/>
      <c r="E701" s="91"/>
      <c r="F701" s="92"/>
      <c r="G701" s="92"/>
      <c r="H701" s="92"/>
      <c r="I701" s="92"/>
      <c r="J701" s="91"/>
      <c r="K701" s="91"/>
      <c r="L701" s="91"/>
      <c r="M701" s="91"/>
      <c r="N701" s="91"/>
      <c r="O701" s="91"/>
      <c r="P701" s="91"/>
      <c r="Q701" s="91"/>
      <c r="R701" s="91"/>
      <c r="S701" s="91"/>
      <c r="T701" s="91"/>
      <c r="U701" s="91"/>
      <c r="V701" s="91"/>
    </row>
    <row r="702" spans="1:22" ht="12" hidden="1" customHeight="1">
      <c r="A702" s="91"/>
      <c r="B702" s="91"/>
      <c r="C702" s="91"/>
      <c r="D702" s="91"/>
      <c r="E702" s="91"/>
      <c r="F702" s="92"/>
      <c r="G702" s="92"/>
      <c r="H702" s="92"/>
      <c r="I702" s="92"/>
      <c r="J702" s="91"/>
      <c r="K702" s="91"/>
      <c r="L702" s="91"/>
      <c r="M702" s="91"/>
      <c r="N702" s="91"/>
      <c r="O702" s="91"/>
      <c r="P702" s="91"/>
      <c r="Q702" s="91"/>
      <c r="R702" s="91"/>
      <c r="S702" s="91"/>
      <c r="T702" s="91"/>
      <c r="U702" s="91"/>
      <c r="V702" s="91"/>
    </row>
    <row r="703" spans="1:22" ht="12" hidden="1" customHeight="1">
      <c r="A703" s="91"/>
      <c r="B703" s="91"/>
      <c r="C703" s="91"/>
      <c r="D703" s="91"/>
      <c r="E703" s="91"/>
      <c r="F703" s="92"/>
      <c r="G703" s="92"/>
      <c r="H703" s="92"/>
      <c r="I703" s="92"/>
      <c r="J703" s="91"/>
      <c r="K703" s="91"/>
      <c r="L703" s="91"/>
      <c r="M703" s="91"/>
      <c r="N703" s="91"/>
      <c r="O703" s="91"/>
      <c r="P703" s="91"/>
      <c r="Q703" s="91"/>
      <c r="R703" s="91"/>
      <c r="S703" s="91"/>
      <c r="T703" s="91"/>
      <c r="U703" s="91"/>
      <c r="V703" s="91"/>
    </row>
    <row r="704" spans="1:22" ht="12" hidden="1" customHeight="1">
      <c r="A704" s="91"/>
      <c r="B704" s="91"/>
      <c r="C704" s="91"/>
      <c r="D704" s="91"/>
      <c r="E704" s="91"/>
      <c r="F704" s="92"/>
      <c r="G704" s="92"/>
      <c r="H704" s="92"/>
      <c r="I704" s="92"/>
      <c r="J704" s="91"/>
      <c r="K704" s="91"/>
      <c r="L704" s="91"/>
      <c r="M704" s="91"/>
      <c r="N704" s="91"/>
      <c r="O704" s="91"/>
      <c r="P704" s="91"/>
      <c r="Q704" s="91"/>
      <c r="R704" s="91"/>
      <c r="S704" s="91"/>
      <c r="T704" s="91"/>
      <c r="U704" s="91"/>
      <c r="V704" s="91"/>
    </row>
    <row r="705" spans="1:22" ht="12" hidden="1" customHeight="1">
      <c r="A705" s="91"/>
      <c r="B705" s="91"/>
      <c r="C705" s="91"/>
      <c r="D705" s="91"/>
      <c r="E705" s="91"/>
      <c r="F705" s="92"/>
      <c r="G705" s="92"/>
      <c r="H705" s="92"/>
      <c r="I705" s="92"/>
      <c r="J705" s="91"/>
      <c r="K705" s="91"/>
      <c r="L705" s="91"/>
      <c r="M705" s="91"/>
      <c r="N705" s="91"/>
      <c r="O705" s="91"/>
      <c r="P705" s="91"/>
      <c r="Q705" s="91"/>
      <c r="R705" s="91"/>
      <c r="S705" s="91"/>
      <c r="T705" s="91"/>
      <c r="U705" s="91"/>
      <c r="V705" s="91"/>
    </row>
    <row r="706" spans="1:22" ht="12" hidden="1" customHeight="1">
      <c r="A706" s="91"/>
      <c r="B706" s="91"/>
      <c r="C706" s="91"/>
      <c r="D706" s="91"/>
      <c r="E706" s="91"/>
      <c r="F706" s="92"/>
      <c r="G706" s="92"/>
      <c r="H706" s="92"/>
      <c r="I706" s="92"/>
      <c r="J706" s="91"/>
      <c r="K706" s="91"/>
      <c r="L706" s="91"/>
      <c r="M706" s="91"/>
      <c r="N706" s="91"/>
      <c r="O706" s="91"/>
      <c r="P706" s="91"/>
      <c r="Q706" s="91"/>
      <c r="R706" s="91"/>
      <c r="S706" s="91"/>
      <c r="T706" s="91"/>
      <c r="U706" s="91"/>
      <c r="V706" s="91"/>
    </row>
    <row r="707" spans="1:22" ht="12" hidden="1" customHeight="1">
      <c r="A707" s="91"/>
      <c r="B707" s="91"/>
      <c r="C707" s="91"/>
      <c r="D707" s="91"/>
      <c r="E707" s="91"/>
      <c r="F707" s="92"/>
      <c r="G707" s="92"/>
      <c r="H707" s="92"/>
      <c r="I707" s="92"/>
      <c r="J707" s="91"/>
      <c r="K707" s="91"/>
      <c r="L707" s="91"/>
      <c r="M707" s="91"/>
      <c r="N707" s="91"/>
      <c r="O707" s="91"/>
      <c r="P707" s="91"/>
      <c r="Q707" s="91"/>
      <c r="R707" s="91"/>
      <c r="S707" s="91"/>
      <c r="T707" s="91"/>
      <c r="U707" s="91"/>
      <c r="V707" s="91"/>
    </row>
    <row r="708" spans="1:22" ht="12" hidden="1" customHeight="1">
      <c r="A708" s="91"/>
      <c r="B708" s="91"/>
      <c r="C708" s="91"/>
      <c r="D708" s="91"/>
      <c r="E708" s="91"/>
      <c r="F708" s="92"/>
      <c r="G708" s="92"/>
      <c r="H708" s="92"/>
      <c r="I708" s="92"/>
      <c r="J708" s="91"/>
      <c r="K708" s="91"/>
      <c r="L708" s="91"/>
      <c r="M708" s="91"/>
      <c r="N708" s="91"/>
      <c r="O708" s="91"/>
      <c r="P708" s="91"/>
      <c r="Q708" s="91"/>
      <c r="R708" s="91"/>
      <c r="S708" s="91"/>
      <c r="T708" s="91"/>
      <c r="U708" s="91"/>
      <c r="V708" s="91"/>
    </row>
    <row r="709" spans="1:22" ht="12" hidden="1" customHeight="1">
      <c r="A709" s="91"/>
      <c r="B709" s="91"/>
      <c r="C709" s="91"/>
      <c r="D709" s="91"/>
      <c r="E709" s="91"/>
      <c r="F709" s="92"/>
      <c r="G709" s="92"/>
      <c r="H709" s="92"/>
      <c r="I709" s="92"/>
      <c r="J709" s="91"/>
      <c r="K709" s="91"/>
      <c r="L709" s="91"/>
      <c r="M709" s="91"/>
      <c r="N709" s="91"/>
      <c r="O709" s="91"/>
      <c r="P709" s="91"/>
      <c r="Q709" s="91"/>
      <c r="R709" s="91"/>
      <c r="S709" s="91"/>
      <c r="T709" s="91"/>
      <c r="U709" s="91"/>
      <c r="V709" s="91"/>
    </row>
    <row r="710" spans="1:22" ht="12" hidden="1" customHeight="1">
      <c r="A710" s="91"/>
      <c r="B710" s="91"/>
      <c r="C710" s="91"/>
      <c r="D710" s="91"/>
      <c r="E710" s="91"/>
      <c r="F710" s="92"/>
      <c r="G710" s="92"/>
      <c r="H710" s="92"/>
      <c r="I710" s="92"/>
      <c r="J710" s="91"/>
      <c r="K710" s="91"/>
      <c r="L710" s="91"/>
      <c r="M710" s="91"/>
      <c r="N710" s="91"/>
      <c r="O710" s="91"/>
      <c r="P710" s="91"/>
      <c r="Q710" s="91"/>
      <c r="R710" s="91"/>
      <c r="S710" s="91"/>
      <c r="T710" s="91"/>
      <c r="U710" s="91"/>
      <c r="V710" s="91"/>
    </row>
    <row r="711" spans="1:22" ht="12" hidden="1" customHeight="1">
      <c r="A711" s="91"/>
      <c r="B711" s="91"/>
      <c r="C711" s="91"/>
      <c r="D711" s="91"/>
      <c r="E711" s="91"/>
      <c r="F711" s="92"/>
      <c r="G711" s="92"/>
      <c r="H711" s="92"/>
      <c r="I711" s="92"/>
      <c r="J711" s="91"/>
      <c r="K711" s="91"/>
      <c r="L711" s="91"/>
      <c r="M711" s="91"/>
      <c r="N711" s="91"/>
      <c r="O711" s="91"/>
      <c r="P711" s="91"/>
      <c r="Q711" s="91"/>
      <c r="R711" s="91"/>
      <c r="S711" s="91"/>
      <c r="T711" s="91"/>
      <c r="U711" s="91"/>
      <c r="V711" s="91"/>
    </row>
    <row r="712" spans="1:22" ht="12" hidden="1" customHeight="1">
      <c r="A712" s="91"/>
      <c r="B712" s="91"/>
      <c r="C712" s="91"/>
      <c r="D712" s="91"/>
      <c r="E712" s="91"/>
      <c r="F712" s="92"/>
      <c r="G712" s="92"/>
      <c r="H712" s="92"/>
      <c r="I712" s="92"/>
      <c r="J712" s="91"/>
      <c r="K712" s="91"/>
      <c r="L712" s="91"/>
      <c r="M712" s="91"/>
      <c r="N712" s="91"/>
      <c r="O712" s="91"/>
      <c r="P712" s="91"/>
      <c r="Q712" s="91"/>
      <c r="R712" s="91"/>
      <c r="S712" s="91"/>
      <c r="T712" s="91"/>
      <c r="U712" s="91"/>
      <c r="V712" s="91"/>
    </row>
    <row r="713" spans="1:22" ht="12" hidden="1" customHeight="1">
      <c r="A713" s="91"/>
      <c r="B713" s="91"/>
      <c r="C713" s="91"/>
      <c r="D713" s="91"/>
      <c r="E713" s="91"/>
      <c r="F713" s="92"/>
      <c r="G713" s="92"/>
      <c r="H713" s="92"/>
      <c r="I713" s="92"/>
      <c r="J713" s="91"/>
      <c r="K713" s="91"/>
      <c r="L713" s="91"/>
      <c r="M713" s="91"/>
      <c r="N713" s="91"/>
      <c r="O713" s="91"/>
      <c r="P713" s="91"/>
      <c r="Q713" s="91"/>
      <c r="R713" s="91"/>
      <c r="S713" s="91"/>
      <c r="T713" s="91"/>
      <c r="U713" s="91"/>
      <c r="V713" s="91"/>
    </row>
    <row r="714" spans="1:22" ht="12" hidden="1" customHeight="1">
      <c r="A714" s="91"/>
      <c r="B714" s="91"/>
      <c r="C714" s="91"/>
      <c r="D714" s="91"/>
      <c r="E714" s="91"/>
      <c r="F714" s="92"/>
      <c r="G714" s="92"/>
      <c r="H714" s="92"/>
      <c r="I714" s="92"/>
      <c r="J714" s="91"/>
      <c r="K714" s="91"/>
      <c r="L714" s="91"/>
      <c r="M714" s="91"/>
      <c r="N714" s="91"/>
      <c r="O714" s="91"/>
      <c r="P714" s="91"/>
      <c r="Q714" s="91"/>
      <c r="R714" s="91"/>
      <c r="S714" s="91"/>
      <c r="T714" s="91"/>
      <c r="U714" s="91"/>
      <c r="V714" s="91"/>
    </row>
    <row r="715" spans="1:22" ht="12" hidden="1" customHeight="1">
      <c r="A715" s="91"/>
      <c r="B715" s="91"/>
      <c r="C715" s="91"/>
      <c r="D715" s="91"/>
      <c r="E715" s="91"/>
      <c r="F715" s="92"/>
      <c r="G715" s="92"/>
      <c r="H715" s="92"/>
      <c r="I715" s="92"/>
      <c r="J715" s="91"/>
      <c r="K715" s="91"/>
      <c r="L715" s="91"/>
      <c r="M715" s="91"/>
      <c r="N715" s="91"/>
      <c r="O715" s="91"/>
      <c r="P715" s="91"/>
      <c r="Q715" s="91"/>
      <c r="R715" s="91"/>
      <c r="S715" s="91"/>
      <c r="T715" s="91"/>
      <c r="U715" s="91"/>
      <c r="V715" s="91"/>
    </row>
    <row r="716" spans="1:22" ht="12" hidden="1" customHeight="1">
      <c r="A716" s="91"/>
      <c r="B716" s="91"/>
      <c r="C716" s="91"/>
      <c r="D716" s="91"/>
      <c r="E716" s="91"/>
      <c r="F716" s="92"/>
      <c r="G716" s="92"/>
      <c r="H716" s="92"/>
      <c r="I716" s="92"/>
      <c r="J716" s="91"/>
      <c r="K716" s="91"/>
      <c r="L716" s="91"/>
      <c r="M716" s="91"/>
      <c r="N716" s="91"/>
      <c r="O716" s="91"/>
      <c r="P716" s="91"/>
      <c r="Q716" s="91"/>
      <c r="R716" s="91"/>
      <c r="S716" s="91"/>
      <c r="T716" s="91"/>
      <c r="U716" s="91"/>
      <c r="V716" s="91"/>
    </row>
    <row r="717" spans="1:22" ht="12" hidden="1" customHeight="1">
      <c r="A717" s="91"/>
      <c r="B717" s="91"/>
      <c r="C717" s="91"/>
      <c r="D717" s="91"/>
      <c r="E717" s="91"/>
      <c r="F717" s="92"/>
      <c r="G717" s="92"/>
      <c r="H717" s="92"/>
      <c r="I717" s="92"/>
      <c r="J717" s="91"/>
      <c r="K717" s="91"/>
      <c r="L717" s="91"/>
      <c r="M717" s="91"/>
      <c r="N717" s="91"/>
      <c r="O717" s="91"/>
      <c r="P717" s="91"/>
      <c r="Q717" s="91"/>
      <c r="R717" s="91"/>
      <c r="S717" s="91"/>
      <c r="T717" s="91"/>
      <c r="U717" s="91"/>
      <c r="V717" s="91"/>
    </row>
    <row r="718" spans="1:22" ht="12" hidden="1" customHeight="1">
      <c r="A718" s="91"/>
      <c r="B718" s="91"/>
      <c r="C718" s="91"/>
      <c r="D718" s="91"/>
      <c r="E718" s="91"/>
      <c r="F718" s="92"/>
      <c r="G718" s="92"/>
      <c r="H718" s="92"/>
      <c r="I718" s="92"/>
      <c r="J718" s="91"/>
      <c r="K718" s="91"/>
      <c r="L718" s="91"/>
      <c r="M718" s="91"/>
      <c r="N718" s="91"/>
      <c r="O718" s="91"/>
      <c r="P718" s="91"/>
      <c r="Q718" s="91"/>
      <c r="R718" s="91"/>
      <c r="S718" s="91"/>
      <c r="T718" s="91"/>
      <c r="U718" s="91"/>
      <c r="V718" s="91"/>
    </row>
    <row r="719" spans="1:22" ht="12" hidden="1" customHeight="1">
      <c r="A719" s="91"/>
      <c r="B719" s="91"/>
      <c r="C719" s="91"/>
      <c r="D719" s="91"/>
      <c r="E719" s="91"/>
      <c r="F719" s="92"/>
      <c r="G719" s="92"/>
      <c r="H719" s="92"/>
      <c r="I719" s="92"/>
      <c r="J719" s="91"/>
      <c r="K719" s="91"/>
      <c r="L719" s="91"/>
      <c r="M719" s="91"/>
      <c r="N719" s="91"/>
      <c r="O719" s="91"/>
      <c r="P719" s="91"/>
      <c r="Q719" s="91"/>
      <c r="R719" s="91"/>
      <c r="S719" s="91"/>
      <c r="T719" s="91"/>
      <c r="U719" s="91"/>
      <c r="V719" s="91"/>
    </row>
    <row r="720" spans="1:22" ht="12" hidden="1" customHeight="1">
      <c r="A720" s="91"/>
      <c r="B720" s="91"/>
      <c r="C720" s="91"/>
      <c r="D720" s="91"/>
      <c r="E720" s="91"/>
      <c r="F720" s="92"/>
      <c r="G720" s="92"/>
      <c r="H720" s="92"/>
      <c r="I720" s="92"/>
      <c r="J720" s="91"/>
      <c r="K720" s="91"/>
      <c r="L720" s="91"/>
      <c r="M720" s="91"/>
      <c r="N720" s="91"/>
      <c r="O720" s="91"/>
      <c r="P720" s="91"/>
      <c r="Q720" s="91"/>
      <c r="R720" s="91"/>
      <c r="S720" s="91"/>
      <c r="T720" s="91"/>
      <c r="U720" s="91"/>
      <c r="V720" s="91"/>
    </row>
    <row r="721" spans="1:22" ht="12" hidden="1" customHeight="1">
      <c r="A721" s="91"/>
      <c r="B721" s="91"/>
      <c r="C721" s="91"/>
      <c r="D721" s="91"/>
      <c r="E721" s="91"/>
      <c r="F721" s="92"/>
      <c r="G721" s="92"/>
      <c r="H721" s="92"/>
      <c r="I721" s="92"/>
      <c r="J721" s="91"/>
      <c r="K721" s="91"/>
      <c r="L721" s="91"/>
      <c r="M721" s="91"/>
      <c r="N721" s="91"/>
      <c r="O721" s="91"/>
      <c r="P721" s="91"/>
      <c r="Q721" s="91"/>
      <c r="R721" s="91"/>
      <c r="S721" s="91"/>
      <c r="T721" s="91"/>
      <c r="U721" s="91"/>
      <c r="V721" s="91"/>
    </row>
    <row r="722" spans="1:22" ht="12" hidden="1" customHeight="1">
      <c r="A722" s="91"/>
      <c r="B722" s="91"/>
      <c r="C722" s="91"/>
      <c r="D722" s="91"/>
      <c r="E722" s="91"/>
      <c r="F722" s="92"/>
      <c r="G722" s="92"/>
      <c r="H722" s="92"/>
      <c r="I722" s="92"/>
      <c r="J722" s="91"/>
      <c r="K722" s="91"/>
      <c r="L722" s="91"/>
      <c r="M722" s="91"/>
      <c r="N722" s="91"/>
      <c r="O722" s="91"/>
      <c r="P722" s="91"/>
      <c r="Q722" s="91"/>
      <c r="R722" s="91"/>
      <c r="S722" s="91"/>
      <c r="T722" s="91"/>
      <c r="U722" s="91"/>
      <c r="V722" s="91"/>
    </row>
    <row r="723" spans="1:22" ht="12" hidden="1" customHeight="1">
      <c r="A723" s="91"/>
      <c r="B723" s="91"/>
      <c r="C723" s="91"/>
      <c r="D723" s="91"/>
      <c r="E723" s="91"/>
      <c r="F723" s="92"/>
      <c r="G723" s="92"/>
      <c r="H723" s="92"/>
      <c r="I723" s="92"/>
      <c r="J723" s="91"/>
      <c r="K723" s="91"/>
      <c r="L723" s="91"/>
      <c r="M723" s="91"/>
      <c r="N723" s="91"/>
      <c r="O723" s="91"/>
      <c r="P723" s="91"/>
      <c r="Q723" s="91"/>
      <c r="R723" s="91"/>
      <c r="S723" s="91"/>
      <c r="T723" s="91"/>
      <c r="U723" s="91"/>
      <c r="V723" s="91"/>
    </row>
    <row r="724" spans="1:22" ht="12" hidden="1" customHeight="1">
      <c r="A724" s="91"/>
      <c r="B724" s="91"/>
      <c r="C724" s="91"/>
      <c r="D724" s="91"/>
      <c r="E724" s="91"/>
      <c r="F724" s="92"/>
      <c r="G724" s="92"/>
      <c r="H724" s="92"/>
      <c r="I724" s="92"/>
      <c r="J724" s="91"/>
      <c r="K724" s="91"/>
      <c r="L724" s="91"/>
      <c r="M724" s="91"/>
      <c r="N724" s="91"/>
      <c r="O724" s="91"/>
      <c r="P724" s="91"/>
      <c r="Q724" s="91"/>
      <c r="R724" s="91"/>
      <c r="S724" s="91"/>
      <c r="T724" s="91"/>
      <c r="U724" s="91"/>
      <c r="V724" s="91"/>
    </row>
    <row r="725" spans="1:22" ht="12" hidden="1" customHeight="1">
      <c r="A725" s="91"/>
      <c r="B725" s="91"/>
      <c r="C725" s="91"/>
      <c r="D725" s="91"/>
      <c r="E725" s="91"/>
      <c r="F725" s="92"/>
      <c r="G725" s="92"/>
      <c r="H725" s="92"/>
      <c r="I725" s="92"/>
      <c r="J725" s="91"/>
      <c r="K725" s="91"/>
      <c r="L725" s="91"/>
      <c r="M725" s="91"/>
      <c r="N725" s="91"/>
      <c r="O725" s="91"/>
      <c r="P725" s="91"/>
      <c r="Q725" s="91"/>
      <c r="R725" s="91"/>
      <c r="S725" s="91"/>
      <c r="T725" s="91"/>
      <c r="U725" s="91"/>
      <c r="V725" s="91"/>
    </row>
    <row r="726" spans="1:22" ht="12" hidden="1" customHeight="1">
      <c r="A726" s="91"/>
      <c r="B726" s="91"/>
      <c r="C726" s="91"/>
      <c r="D726" s="91"/>
      <c r="E726" s="91"/>
      <c r="F726" s="92"/>
      <c r="G726" s="92"/>
      <c r="H726" s="92"/>
      <c r="I726" s="92"/>
      <c r="J726" s="91"/>
      <c r="K726" s="91"/>
      <c r="L726" s="91"/>
      <c r="M726" s="91"/>
      <c r="N726" s="91"/>
      <c r="O726" s="91"/>
      <c r="P726" s="91"/>
      <c r="Q726" s="91"/>
      <c r="R726" s="91"/>
      <c r="S726" s="91"/>
      <c r="T726" s="91"/>
      <c r="U726" s="91"/>
      <c r="V726" s="91"/>
    </row>
    <row r="727" spans="1:22" ht="12" hidden="1" customHeight="1">
      <c r="A727" s="91"/>
      <c r="B727" s="91"/>
      <c r="C727" s="91"/>
      <c r="D727" s="91"/>
      <c r="E727" s="91"/>
      <c r="F727" s="92"/>
      <c r="G727" s="92"/>
      <c r="H727" s="92"/>
      <c r="I727" s="92"/>
      <c r="J727" s="91"/>
      <c r="K727" s="91"/>
      <c r="L727" s="91"/>
      <c r="M727" s="91"/>
      <c r="N727" s="91"/>
      <c r="O727" s="91"/>
      <c r="P727" s="91"/>
      <c r="Q727" s="91"/>
      <c r="R727" s="91"/>
      <c r="S727" s="91"/>
      <c r="T727" s="91"/>
      <c r="U727" s="91"/>
      <c r="V727" s="91"/>
    </row>
    <row r="728" spans="1:22" ht="12" hidden="1" customHeight="1">
      <c r="A728" s="91"/>
      <c r="B728" s="91"/>
      <c r="C728" s="91"/>
      <c r="D728" s="91"/>
      <c r="E728" s="91"/>
      <c r="F728" s="92"/>
      <c r="G728" s="92"/>
      <c r="H728" s="92"/>
      <c r="I728" s="92"/>
      <c r="J728" s="91"/>
      <c r="K728" s="91"/>
      <c r="L728" s="91"/>
      <c r="M728" s="91"/>
      <c r="N728" s="91"/>
      <c r="O728" s="91"/>
      <c r="P728" s="91"/>
      <c r="Q728" s="91"/>
      <c r="R728" s="91"/>
      <c r="S728" s="91"/>
      <c r="T728" s="91"/>
      <c r="U728" s="91"/>
      <c r="V728" s="91"/>
    </row>
    <row r="729" spans="1:22" ht="12" hidden="1" customHeight="1">
      <c r="A729" s="91"/>
      <c r="B729" s="91"/>
      <c r="C729" s="91"/>
      <c r="D729" s="91"/>
      <c r="E729" s="91"/>
      <c r="F729" s="92"/>
      <c r="G729" s="92"/>
      <c r="H729" s="92"/>
      <c r="I729" s="92"/>
      <c r="J729" s="91"/>
      <c r="K729" s="91"/>
      <c r="L729" s="91"/>
      <c r="M729" s="91"/>
      <c r="N729" s="91"/>
      <c r="O729" s="91"/>
      <c r="P729" s="91"/>
      <c r="Q729" s="91"/>
      <c r="R729" s="91"/>
      <c r="S729" s="91"/>
      <c r="T729" s="91"/>
      <c r="U729" s="91"/>
      <c r="V729" s="91"/>
    </row>
    <row r="730" spans="1:22" ht="12" hidden="1" customHeight="1">
      <c r="A730" s="91"/>
      <c r="B730" s="91"/>
      <c r="C730" s="91"/>
      <c r="D730" s="91"/>
      <c r="E730" s="91"/>
      <c r="F730" s="92"/>
      <c r="G730" s="92"/>
      <c r="H730" s="92"/>
      <c r="I730" s="92"/>
      <c r="J730" s="91"/>
      <c r="K730" s="91"/>
      <c r="L730" s="91"/>
      <c r="M730" s="91"/>
      <c r="N730" s="91"/>
      <c r="O730" s="91"/>
      <c r="P730" s="91"/>
      <c r="Q730" s="91"/>
      <c r="R730" s="91"/>
      <c r="S730" s="91"/>
      <c r="T730" s="91"/>
      <c r="U730" s="91"/>
      <c r="V730" s="91"/>
    </row>
    <row r="731" spans="1:22" ht="12" hidden="1" customHeight="1">
      <c r="A731" s="91"/>
      <c r="B731" s="91"/>
      <c r="C731" s="91"/>
      <c r="D731" s="91"/>
      <c r="E731" s="91"/>
      <c r="F731" s="92"/>
      <c r="G731" s="92"/>
      <c r="H731" s="92"/>
      <c r="I731" s="92"/>
      <c r="J731" s="91"/>
      <c r="K731" s="91"/>
      <c r="L731" s="91"/>
      <c r="M731" s="91"/>
      <c r="N731" s="91"/>
      <c r="O731" s="91"/>
      <c r="P731" s="91"/>
      <c r="Q731" s="91"/>
      <c r="R731" s="91"/>
      <c r="S731" s="91"/>
      <c r="T731" s="91"/>
      <c r="U731" s="91"/>
      <c r="V731" s="91"/>
    </row>
    <row r="732" spans="1:22" ht="12" hidden="1" customHeight="1">
      <c r="A732" s="91"/>
      <c r="B732" s="91"/>
      <c r="C732" s="91"/>
      <c r="D732" s="91"/>
      <c r="E732" s="91"/>
      <c r="F732" s="92"/>
      <c r="G732" s="92"/>
      <c r="H732" s="92"/>
      <c r="I732" s="92"/>
      <c r="J732" s="91"/>
      <c r="K732" s="91"/>
      <c r="L732" s="91"/>
      <c r="M732" s="91"/>
      <c r="N732" s="91"/>
      <c r="O732" s="91"/>
      <c r="P732" s="91"/>
      <c r="Q732" s="91"/>
      <c r="R732" s="91"/>
      <c r="S732" s="91"/>
      <c r="T732" s="91"/>
      <c r="U732" s="91"/>
      <c r="V732" s="91"/>
    </row>
    <row r="733" spans="1:22" ht="12" hidden="1" customHeight="1">
      <c r="A733" s="91"/>
      <c r="B733" s="91"/>
      <c r="C733" s="91"/>
      <c r="D733" s="91"/>
      <c r="E733" s="91"/>
      <c r="F733" s="92"/>
      <c r="G733" s="92"/>
      <c r="H733" s="92"/>
      <c r="I733" s="92"/>
      <c r="J733" s="91"/>
      <c r="K733" s="91"/>
      <c r="L733" s="91"/>
      <c r="M733" s="91"/>
      <c r="N733" s="91"/>
      <c r="O733" s="91"/>
      <c r="P733" s="91"/>
      <c r="Q733" s="91"/>
      <c r="R733" s="91"/>
      <c r="S733" s="91"/>
      <c r="T733" s="91"/>
      <c r="U733" s="91"/>
      <c r="V733" s="91"/>
    </row>
    <row r="734" spans="1:22" ht="12" hidden="1" customHeight="1">
      <c r="A734" s="91"/>
      <c r="B734" s="91"/>
      <c r="C734" s="91"/>
      <c r="D734" s="91"/>
      <c r="E734" s="91"/>
      <c r="F734" s="92"/>
      <c r="G734" s="92"/>
      <c r="H734" s="92"/>
      <c r="I734" s="92"/>
      <c r="J734" s="91"/>
      <c r="K734" s="91"/>
      <c r="L734" s="91"/>
      <c r="M734" s="91"/>
      <c r="N734" s="91"/>
      <c r="O734" s="91"/>
      <c r="P734" s="91"/>
      <c r="Q734" s="91"/>
      <c r="R734" s="91"/>
      <c r="S734" s="91"/>
      <c r="T734" s="91"/>
      <c r="U734" s="91"/>
      <c r="V734" s="91"/>
    </row>
    <row r="735" spans="1:22" ht="12" hidden="1" customHeight="1">
      <c r="A735" s="91"/>
      <c r="B735" s="91"/>
      <c r="C735" s="91"/>
      <c r="D735" s="91"/>
      <c r="E735" s="91"/>
      <c r="F735" s="92"/>
      <c r="G735" s="92"/>
      <c r="H735" s="92"/>
      <c r="I735" s="92"/>
      <c r="J735" s="91"/>
      <c r="K735" s="91"/>
      <c r="L735" s="91"/>
      <c r="M735" s="91"/>
      <c r="N735" s="91"/>
      <c r="O735" s="91"/>
      <c r="P735" s="91"/>
      <c r="Q735" s="91"/>
      <c r="R735" s="91"/>
      <c r="S735" s="91"/>
      <c r="T735" s="91"/>
      <c r="U735" s="91"/>
      <c r="V735" s="91"/>
    </row>
    <row r="736" spans="1:22" ht="12" hidden="1" customHeight="1">
      <c r="A736" s="91"/>
      <c r="B736" s="91"/>
      <c r="C736" s="91"/>
      <c r="D736" s="91"/>
      <c r="E736" s="91"/>
      <c r="F736" s="92"/>
      <c r="G736" s="92"/>
      <c r="H736" s="92"/>
      <c r="I736" s="92"/>
      <c r="J736" s="91"/>
      <c r="K736" s="91"/>
      <c r="L736" s="91"/>
      <c r="M736" s="91"/>
      <c r="N736" s="91"/>
      <c r="O736" s="91"/>
      <c r="P736" s="91"/>
      <c r="Q736" s="91"/>
      <c r="R736" s="91"/>
      <c r="S736" s="91"/>
      <c r="T736" s="91"/>
      <c r="U736" s="91"/>
      <c r="V736" s="91"/>
    </row>
    <row r="737" spans="1:22" ht="12" hidden="1" customHeight="1">
      <c r="A737" s="91"/>
      <c r="B737" s="91"/>
      <c r="C737" s="91"/>
      <c r="D737" s="91"/>
      <c r="E737" s="91"/>
      <c r="F737" s="92"/>
      <c r="G737" s="92"/>
      <c r="H737" s="92"/>
      <c r="I737" s="92"/>
      <c r="J737" s="91"/>
      <c r="K737" s="91"/>
      <c r="L737" s="91"/>
      <c r="M737" s="91"/>
      <c r="N737" s="91"/>
      <c r="O737" s="91"/>
      <c r="P737" s="91"/>
      <c r="Q737" s="91"/>
      <c r="R737" s="91"/>
      <c r="S737" s="91"/>
      <c r="T737" s="91"/>
      <c r="U737" s="91"/>
      <c r="V737" s="91"/>
    </row>
    <row r="738" spans="1:22" ht="12" hidden="1" customHeight="1">
      <c r="A738" s="91"/>
      <c r="B738" s="91"/>
      <c r="C738" s="91"/>
      <c r="D738" s="91"/>
      <c r="E738" s="91"/>
      <c r="F738" s="92"/>
      <c r="G738" s="92"/>
      <c r="H738" s="92"/>
      <c r="I738" s="92"/>
      <c r="J738" s="91"/>
      <c r="K738" s="91"/>
      <c r="L738" s="91"/>
      <c r="M738" s="91"/>
      <c r="N738" s="91"/>
      <c r="O738" s="91"/>
      <c r="P738" s="91"/>
      <c r="Q738" s="91"/>
      <c r="R738" s="91"/>
      <c r="S738" s="91"/>
      <c r="T738" s="91"/>
      <c r="U738" s="91"/>
      <c r="V738" s="91"/>
    </row>
    <row r="739" spans="1:22" ht="12" hidden="1" customHeight="1">
      <c r="A739" s="91"/>
      <c r="B739" s="91"/>
      <c r="C739" s="91"/>
      <c r="D739" s="91"/>
      <c r="E739" s="91"/>
      <c r="F739" s="92"/>
      <c r="G739" s="92"/>
      <c r="H739" s="92"/>
      <c r="I739" s="92"/>
      <c r="J739" s="91"/>
      <c r="K739" s="91"/>
      <c r="L739" s="91"/>
      <c r="M739" s="91"/>
      <c r="N739" s="91"/>
      <c r="O739" s="91"/>
      <c r="P739" s="91"/>
      <c r="Q739" s="91"/>
      <c r="R739" s="91"/>
      <c r="S739" s="91"/>
      <c r="T739" s="91"/>
      <c r="U739" s="91"/>
      <c r="V739" s="91"/>
    </row>
    <row r="740" spans="1:22" ht="12" hidden="1" customHeight="1">
      <c r="A740" s="91"/>
      <c r="B740" s="91"/>
      <c r="C740" s="91"/>
      <c r="D740" s="91"/>
      <c r="E740" s="91"/>
      <c r="F740" s="92"/>
      <c r="G740" s="92"/>
      <c r="H740" s="92"/>
      <c r="I740" s="92"/>
      <c r="J740" s="91"/>
      <c r="K740" s="91"/>
      <c r="L740" s="91"/>
      <c r="M740" s="91"/>
      <c r="N740" s="91"/>
      <c r="O740" s="91"/>
      <c r="P740" s="91"/>
      <c r="Q740" s="91"/>
      <c r="R740" s="91"/>
      <c r="S740" s="91"/>
      <c r="T740" s="91"/>
      <c r="U740" s="91"/>
      <c r="V740" s="91"/>
    </row>
    <row r="741" spans="1:22" ht="12" hidden="1" customHeight="1">
      <c r="A741" s="91"/>
      <c r="B741" s="91"/>
      <c r="C741" s="91"/>
      <c r="D741" s="91"/>
      <c r="E741" s="91"/>
      <c r="F741" s="92"/>
      <c r="G741" s="92"/>
      <c r="H741" s="92"/>
      <c r="I741" s="92"/>
      <c r="J741" s="91"/>
      <c r="K741" s="91"/>
      <c r="L741" s="91"/>
      <c r="M741" s="91"/>
      <c r="N741" s="91"/>
      <c r="O741" s="91"/>
      <c r="P741" s="91"/>
      <c r="Q741" s="91"/>
      <c r="R741" s="91"/>
      <c r="S741" s="91"/>
      <c r="T741" s="91"/>
      <c r="U741" s="91"/>
      <c r="V741" s="91"/>
    </row>
    <row r="742" spans="1:22" ht="12" hidden="1" customHeight="1">
      <c r="A742" s="91"/>
      <c r="B742" s="91"/>
      <c r="C742" s="91"/>
      <c r="D742" s="91"/>
      <c r="E742" s="91"/>
      <c r="F742" s="92"/>
      <c r="G742" s="92"/>
      <c r="H742" s="92"/>
      <c r="I742" s="92"/>
      <c r="J742" s="91"/>
      <c r="K742" s="91"/>
      <c r="L742" s="91"/>
      <c r="M742" s="91"/>
      <c r="N742" s="91"/>
      <c r="O742" s="91"/>
      <c r="P742" s="91"/>
      <c r="Q742" s="91"/>
      <c r="R742" s="91"/>
      <c r="S742" s="91"/>
      <c r="T742" s="91"/>
      <c r="U742" s="91"/>
      <c r="V742" s="91"/>
    </row>
    <row r="743" spans="1:22" ht="12" hidden="1" customHeight="1">
      <c r="A743" s="91"/>
      <c r="B743" s="91"/>
      <c r="C743" s="91"/>
      <c r="D743" s="91"/>
      <c r="E743" s="91"/>
      <c r="F743" s="92"/>
      <c r="G743" s="92"/>
      <c r="H743" s="92"/>
      <c r="I743" s="92"/>
      <c r="J743" s="91"/>
      <c r="K743" s="91"/>
      <c r="L743" s="91"/>
      <c r="M743" s="91"/>
      <c r="N743" s="91"/>
      <c r="O743" s="91"/>
      <c r="P743" s="91"/>
      <c r="Q743" s="91"/>
      <c r="R743" s="91"/>
      <c r="S743" s="91"/>
      <c r="T743" s="91"/>
      <c r="U743" s="91"/>
      <c r="V743" s="91"/>
    </row>
    <row r="744" spans="1:22" ht="12" hidden="1" customHeight="1">
      <c r="A744" s="91"/>
      <c r="B744" s="91"/>
      <c r="C744" s="91"/>
      <c r="D744" s="91"/>
      <c r="E744" s="91"/>
      <c r="F744" s="92"/>
      <c r="G744" s="92"/>
      <c r="H744" s="92"/>
      <c r="I744" s="92"/>
      <c r="J744" s="91"/>
      <c r="K744" s="91"/>
      <c r="L744" s="91"/>
      <c r="M744" s="91"/>
      <c r="N744" s="91"/>
      <c r="O744" s="91"/>
      <c r="P744" s="91"/>
      <c r="Q744" s="91"/>
      <c r="R744" s="91"/>
      <c r="S744" s="91"/>
      <c r="T744" s="91"/>
      <c r="U744" s="91"/>
      <c r="V744" s="91"/>
    </row>
    <row r="745" spans="1:22" ht="12" hidden="1" customHeight="1">
      <c r="A745" s="91"/>
      <c r="B745" s="91"/>
      <c r="C745" s="91"/>
      <c r="D745" s="91"/>
      <c r="E745" s="91"/>
      <c r="F745" s="92"/>
      <c r="G745" s="92"/>
      <c r="H745" s="92"/>
      <c r="I745" s="92"/>
      <c r="J745" s="91"/>
      <c r="K745" s="91"/>
      <c r="L745" s="91"/>
      <c r="M745" s="91"/>
      <c r="N745" s="91"/>
      <c r="O745" s="91"/>
      <c r="P745" s="91"/>
      <c r="Q745" s="91"/>
      <c r="R745" s="91"/>
      <c r="S745" s="91"/>
      <c r="T745" s="91"/>
      <c r="U745" s="91"/>
      <c r="V745" s="91"/>
    </row>
    <row r="746" spans="1:22" ht="12" hidden="1" customHeight="1">
      <c r="A746" s="91"/>
      <c r="B746" s="91"/>
      <c r="C746" s="91"/>
      <c r="D746" s="91"/>
      <c r="E746" s="91"/>
      <c r="F746" s="92"/>
      <c r="G746" s="92"/>
      <c r="H746" s="92"/>
      <c r="I746" s="92"/>
      <c r="J746" s="91"/>
      <c r="K746" s="91"/>
      <c r="L746" s="91"/>
      <c r="M746" s="91"/>
      <c r="N746" s="91"/>
      <c r="O746" s="91"/>
      <c r="P746" s="91"/>
      <c r="Q746" s="91"/>
      <c r="R746" s="91"/>
      <c r="S746" s="91"/>
      <c r="T746" s="91"/>
      <c r="U746" s="91"/>
      <c r="V746" s="91"/>
    </row>
    <row r="747" spans="1:22" ht="12" hidden="1" customHeight="1">
      <c r="A747" s="91"/>
      <c r="B747" s="91"/>
      <c r="C747" s="91"/>
      <c r="D747" s="91"/>
      <c r="E747" s="91"/>
      <c r="F747" s="92"/>
      <c r="G747" s="92"/>
      <c r="H747" s="92"/>
      <c r="I747" s="92"/>
      <c r="J747" s="91"/>
      <c r="K747" s="91"/>
      <c r="L747" s="91"/>
      <c r="M747" s="91"/>
      <c r="N747" s="91"/>
      <c r="O747" s="91"/>
      <c r="P747" s="91"/>
      <c r="Q747" s="91"/>
      <c r="R747" s="91"/>
      <c r="S747" s="91"/>
      <c r="T747" s="91"/>
      <c r="U747" s="91"/>
      <c r="V747" s="91"/>
    </row>
    <row r="748" spans="1:22" ht="12" hidden="1" customHeight="1">
      <c r="A748" s="91"/>
      <c r="B748" s="91"/>
      <c r="C748" s="91"/>
      <c r="D748" s="91"/>
      <c r="E748" s="91"/>
      <c r="F748" s="92"/>
      <c r="G748" s="92"/>
      <c r="H748" s="92"/>
      <c r="I748" s="92"/>
      <c r="J748" s="91"/>
      <c r="K748" s="91"/>
      <c r="L748" s="91"/>
      <c r="M748" s="91"/>
      <c r="N748" s="91"/>
      <c r="O748" s="91"/>
      <c r="P748" s="91"/>
      <c r="Q748" s="91"/>
      <c r="R748" s="91"/>
      <c r="S748" s="91"/>
      <c r="T748" s="91"/>
      <c r="U748" s="91"/>
      <c r="V748" s="91"/>
    </row>
    <row r="749" spans="1:22" ht="12" hidden="1" customHeight="1">
      <c r="A749" s="91"/>
      <c r="B749" s="91"/>
      <c r="C749" s="91"/>
      <c r="D749" s="91"/>
      <c r="E749" s="91"/>
      <c r="F749" s="92"/>
      <c r="G749" s="92"/>
      <c r="H749" s="92"/>
      <c r="I749" s="92"/>
      <c r="J749" s="91"/>
      <c r="K749" s="91"/>
      <c r="L749" s="91"/>
      <c r="M749" s="91"/>
      <c r="N749" s="91"/>
      <c r="O749" s="91"/>
      <c r="P749" s="91"/>
      <c r="Q749" s="91"/>
      <c r="R749" s="91"/>
      <c r="S749" s="91"/>
      <c r="T749" s="91"/>
      <c r="U749" s="91"/>
      <c r="V749" s="91"/>
    </row>
    <row r="750" spans="1:22" ht="12" hidden="1" customHeight="1">
      <c r="A750" s="91"/>
      <c r="B750" s="91"/>
      <c r="C750" s="91"/>
      <c r="D750" s="91"/>
      <c r="E750" s="91"/>
      <c r="F750" s="92"/>
      <c r="G750" s="92"/>
      <c r="H750" s="92"/>
      <c r="I750" s="92"/>
      <c r="J750" s="91"/>
      <c r="K750" s="91"/>
      <c r="L750" s="91"/>
      <c r="M750" s="91"/>
      <c r="N750" s="91"/>
      <c r="O750" s="91"/>
      <c r="P750" s="91"/>
      <c r="Q750" s="91"/>
      <c r="R750" s="91"/>
      <c r="S750" s="91"/>
      <c r="T750" s="91"/>
      <c r="U750" s="91"/>
      <c r="V750" s="91"/>
    </row>
    <row r="751" spans="1:22" ht="12" hidden="1" customHeight="1">
      <c r="A751" s="91"/>
      <c r="B751" s="91"/>
      <c r="C751" s="91"/>
      <c r="D751" s="91"/>
      <c r="E751" s="91"/>
      <c r="F751" s="92"/>
      <c r="G751" s="92"/>
      <c r="H751" s="92"/>
      <c r="I751" s="92"/>
      <c r="J751" s="91"/>
      <c r="K751" s="91"/>
      <c r="L751" s="91"/>
      <c r="M751" s="91"/>
      <c r="N751" s="91"/>
      <c r="O751" s="91"/>
      <c r="P751" s="91"/>
      <c r="Q751" s="91"/>
      <c r="R751" s="91"/>
      <c r="S751" s="91"/>
      <c r="T751" s="91"/>
      <c r="U751" s="91"/>
      <c r="V751" s="91"/>
    </row>
    <row r="752" spans="1:22" ht="12" hidden="1" customHeight="1">
      <c r="A752" s="91"/>
      <c r="B752" s="91"/>
      <c r="C752" s="91"/>
      <c r="D752" s="91"/>
      <c r="E752" s="91"/>
      <c r="F752" s="92"/>
      <c r="G752" s="92"/>
      <c r="H752" s="92"/>
      <c r="I752" s="92"/>
      <c r="J752" s="91"/>
      <c r="K752" s="91"/>
      <c r="L752" s="91"/>
      <c r="M752" s="91"/>
      <c r="N752" s="91"/>
      <c r="O752" s="91"/>
      <c r="P752" s="91"/>
      <c r="Q752" s="91"/>
      <c r="R752" s="91"/>
      <c r="S752" s="91"/>
      <c r="T752" s="91"/>
      <c r="U752" s="91"/>
      <c r="V752" s="91"/>
    </row>
    <row r="753" spans="1:22" ht="12" hidden="1" customHeight="1">
      <c r="A753" s="91"/>
      <c r="B753" s="91"/>
      <c r="C753" s="91"/>
      <c r="D753" s="91"/>
      <c r="E753" s="91"/>
      <c r="F753" s="92"/>
      <c r="G753" s="92"/>
      <c r="H753" s="92"/>
      <c r="I753" s="92"/>
      <c r="J753" s="91"/>
      <c r="K753" s="91"/>
      <c r="L753" s="91"/>
      <c r="M753" s="91"/>
      <c r="N753" s="91"/>
      <c r="O753" s="91"/>
      <c r="P753" s="91"/>
      <c r="Q753" s="91"/>
      <c r="R753" s="91"/>
      <c r="S753" s="91"/>
      <c r="T753" s="91"/>
      <c r="U753" s="91"/>
      <c r="V753" s="91"/>
    </row>
    <row r="754" spans="1:22" ht="12" hidden="1" customHeight="1">
      <c r="A754" s="91"/>
      <c r="B754" s="91"/>
      <c r="C754" s="91"/>
      <c r="D754" s="91"/>
      <c r="E754" s="91"/>
      <c r="F754" s="92"/>
      <c r="G754" s="92"/>
      <c r="H754" s="92"/>
      <c r="I754" s="92"/>
      <c r="J754" s="91"/>
      <c r="K754" s="91"/>
      <c r="L754" s="91"/>
      <c r="M754" s="91"/>
      <c r="N754" s="91"/>
      <c r="O754" s="91"/>
      <c r="P754" s="91"/>
      <c r="Q754" s="91"/>
      <c r="R754" s="91"/>
      <c r="S754" s="91"/>
      <c r="T754" s="91"/>
      <c r="U754" s="91"/>
      <c r="V754" s="91"/>
    </row>
    <row r="755" spans="1:22" ht="12" hidden="1" customHeight="1">
      <c r="A755" s="91"/>
      <c r="B755" s="91"/>
      <c r="C755" s="91"/>
      <c r="D755" s="91"/>
      <c r="E755" s="91"/>
      <c r="F755" s="92"/>
      <c r="G755" s="92"/>
      <c r="H755" s="92"/>
      <c r="I755" s="92"/>
      <c r="J755" s="91"/>
      <c r="K755" s="91"/>
      <c r="L755" s="91"/>
      <c r="M755" s="91"/>
      <c r="N755" s="91"/>
      <c r="O755" s="91"/>
      <c r="P755" s="91"/>
      <c r="Q755" s="91"/>
      <c r="R755" s="91"/>
      <c r="S755" s="91"/>
      <c r="T755" s="91"/>
      <c r="U755" s="91"/>
      <c r="V755" s="91"/>
    </row>
    <row r="756" spans="1:22" ht="12" hidden="1" customHeight="1">
      <c r="A756" s="91"/>
      <c r="B756" s="91"/>
      <c r="C756" s="91"/>
      <c r="D756" s="91"/>
      <c r="E756" s="91"/>
      <c r="F756" s="92"/>
      <c r="G756" s="92"/>
      <c r="H756" s="92"/>
      <c r="I756" s="92"/>
      <c r="J756" s="91"/>
      <c r="K756" s="91"/>
      <c r="L756" s="91"/>
      <c r="M756" s="91"/>
      <c r="N756" s="91"/>
      <c r="O756" s="91"/>
      <c r="P756" s="91"/>
      <c r="Q756" s="91"/>
      <c r="R756" s="91"/>
      <c r="S756" s="91"/>
      <c r="T756" s="91"/>
      <c r="U756" s="91"/>
      <c r="V756" s="91"/>
    </row>
    <row r="757" spans="1:22" ht="12" hidden="1" customHeight="1">
      <c r="A757" s="91"/>
      <c r="B757" s="91"/>
      <c r="C757" s="91"/>
      <c r="D757" s="91"/>
      <c r="E757" s="91"/>
      <c r="F757" s="92"/>
      <c r="G757" s="92"/>
      <c r="H757" s="92"/>
      <c r="I757" s="92"/>
      <c r="J757" s="91"/>
      <c r="K757" s="91"/>
      <c r="L757" s="91"/>
      <c r="M757" s="91"/>
      <c r="N757" s="91"/>
      <c r="O757" s="91"/>
      <c r="P757" s="91"/>
      <c r="Q757" s="91"/>
      <c r="R757" s="91"/>
      <c r="S757" s="91"/>
      <c r="T757" s="91"/>
      <c r="U757" s="91"/>
      <c r="V757" s="91"/>
    </row>
    <row r="758" spans="1:22" ht="12" hidden="1" customHeight="1">
      <c r="A758" s="91"/>
      <c r="B758" s="91"/>
      <c r="C758" s="91"/>
      <c r="D758" s="91"/>
      <c r="E758" s="91"/>
      <c r="F758" s="92"/>
      <c r="G758" s="92"/>
      <c r="H758" s="92"/>
      <c r="I758" s="92"/>
      <c r="J758" s="91"/>
      <c r="K758" s="91"/>
      <c r="L758" s="91"/>
      <c r="M758" s="91"/>
      <c r="N758" s="91"/>
      <c r="O758" s="91"/>
      <c r="P758" s="91"/>
      <c r="Q758" s="91"/>
      <c r="R758" s="91"/>
      <c r="S758" s="91"/>
      <c r="T758" s="91"/>
      <c r="U758" s="91"/>
      <c r="V758" s="91"/>
    </row>
    <row r="759" spans="1:22" ht="12" hidden="1" customHeight="1">
      <c r="A759" s="91"/>
      <c r="B759" s="91"/>
      <c r="C759" s="91"/>
      <c r="D759" s="91"/>
      <c r="E759" s="91"/>
      <c r="F759" s="92"/>
      <c r="G759" s="92"/>
      <c r="H759" s="92"/>
      <c r="I759" s="92"/>
      <c r="J759" s="91"/>
      <c r="K759" s="91"/>
      <c r="L759" s="91"/>
      <c r="M759" s="91"/>
      <c r="N759" s="91"/>
      <c r="O759" s="91"/>
      <c r="P759" s="91"/>
      <c r="Q759" s="91"/>
      <c r="R759" s="91"/>
      <c r="S759" s="91"/>
      <c r="T759" s="91"/>
      <c r="U759" s="91"/>
      <c r="V759" s="91"/>
    </row>
    <row r="760" spans="1:22" ht="12" hidden="1" customHeight="1">
      <c r="A760" s="91"/>
      <c r="B760" s="91"/>
      <c r="C760" s="91"/>
      <c r="D760" s="91"/>
      <c r="E760" s="91"/>
      <c r="F760" s="92"/>
      <c r="G760" s="92"/>
      <c r="H760" s="92"/>
      <c r="I760" s="92"/>
      <c r="J760" s="91"/>
      <c r="K760" s="91"/>
      <c r="L760" s="91"/>
      <c r="M760" s="91"/>
      <c r="N760" s="91"/>
      <c r="O760" s="91"/>
      <c r="P760" s="91"/>
      <c r="Q760" s="91"/>
      <c r="R760" s="91"/>
      <c r="S760" s="91"/>
      <c r="T760" s="91"/>
      <c r="U760" s="91"/>
      <c r="V760" s="91"/>
    </row>
    <row r="761" spans="1:22" ht="12" hidden="1" customHeight="1">
      <c r="A761" s="91"/>
      <c r="B761" s="91"/>
      <c r="C761" s="91"/>
      <c r="D761" s="91"/>
      <c r="E761" s="91"/>
      <c r="F761" s="92"/>
      <c r="G761" s="92"/>
      <c r="H761" s="92"/>
      <c r="I761" s="92"/>
      <c r="J761" s="91"/>
      <c r="K761" s="91"/>
      <c r="L761" s="91"/>
      <c r="M761" s="91"/>
      <c r="N761" s="91"/>
      <c r="O761" s="91"/>
      <c r="P761" s="91"/>
      <c r="Q761" s="91"/>
      <c r="R761" s="91"/>
      <c r="S761" s="91"/>
      <c r="T761" s="91"/>
      <c r="U761" s="91"/>
      <c r="V761" s="91"/>
    </row>
    <row r="762" spans="1:22" ht="12" hidden="1" customHeight="1">
      <c r="A762" s="91"/>
      <c r="B762" s="91"/>
      <c r="C762" s="91"/>
      <c r="D762" s="91"/>
      <c r="E762" s="91"/>
      <c r="F762" s="92"/>
      <c r="G762" s="92"/>
      <c r="H762" s="92"/>
      <c r="I762" s="92"/>
      <c r="J762" s="91"/>
      <c r="K762" s="91"/>
      <c r="L762" s="91"/>
      <c r="M762" s="91"/>
      <c r="N762" s="91"/>
      <c r="O762" s="91"/>
      <c r="P762" s="91"/>
      <c r="Q762" s="91"/>
      <c r="R762" s="91"/>
      <c r="S762" s="91"/>
      <c r="T762" s="91"/>
      <c r="U762" s="91"/>
      <c r="V762" s="91"/>
    </row>
    <row r="763" spans="1:22" ht="12" hidden="1" customHeight="1">
      <c r="A763" s="91"/>
      <c r="B763" s="91"/>
      <c r="C763" s="91"/>
      <c r="D763" s="91"/>
      <c r="E763" s="91"/>
      <c r="F763" s="92"/>
      <c r="G763" s="92"/>
      <c r="H763" s="92"/>
      <c r="I763" s="92"/>
      <c r="J763" s="91"/>
      <c r="K763" s="91"/>
      <c r="L763" s="91"/>
      <c r="M763" s="91"/>
      <c r="N763" s="91"/>
      <c r="O763" s="91"/>
      <c r="P763" s="91"/>
      <c r="Q763" s="91"/>
      <c r="R763" s="91"/>
      <c r="S763" s="91"/>
      <c r="T763" s="91"/>
      <c r="U763" s="91"/>
      <c r="V763" s="91"/>
    </row>
    <row r="764" spans="1:22" ht="12" hidden="1" customHeight="1">
      <c r="A764" s="91"/>
      <c r="B764" s="91"/>
      <c r="C764" s="91"/>
      <c r="D764" s="91"/>
      <c r="E764" s="91"/>
      <c r="F764" s="92"/>
      <c r="G764" s="92"/>
      <c r="H764" s="92"/>
      <c r="I764" s="92"/>
      <c r="J764" s="91"/>
      <c r="K764" s="91"/>
      <c r="L764" s="91"/>
      <c r="M764" s="91"/>
      <c r="N764" s="91"/>
      <c r="O764" s="91"/>
      <c r="P764" s="91"/>
      <c r="Q764" s="91"/>
      <c r="R764" s="91"/>
      <c r="S764" s="91"/>
      <c r="T764" s="91"/>
      <c r="U764" s="91"/>
      <c r="V764" s="91"/>
    </row>
    <row r="765" spans="1:22" ht="12" hidden="1" customHeight="1">
      <c r="A765" s="91"/>
      <c r="B765" s="91"/>
      <c r="C765" s="91"/>
      <c r="D765" s="91"/>
      <c r="E765" s="91"/>
      <c r="F765" s="92"/>
      <c r="G765" s="92"/>
      <c r="H765" s="92"/>
      <c r="I765" s="92"/>
      <c r="J765" s="91"/>
      <c r="K765" s="91"/>
      <c r="L765" s="91"/>
      <c r="M765" s="91"/>
      <c r="N765" s="91"/>
      <c r="O765" s="91"/>
      <c r="P765" s="91"/>
      <c r="Q765" s="91"/>
      <c r="R765" s="91"/>
      <c r="S765" s="91"/>
      <c r="T765" s="91"/>
      <c r="U765" s="91"/>
      <c r="V765" s="91"/>
    </row>
    <row r="766" spans="1:22" ht="12" hidden="1" customHeight="1">
      <c r="A766" s="91"/>
      <c r="B766" s="91"/>
      <c r="C766" s="91"/>
      <c r="D766" s="91"/>
      <c r="E766" s="91"/>
      <c r="F766" s="92"/>
      <c r="G766" s="92"/>
      <c r="H766" s="92"/>
      <c r="I766" s="92"/>
      <c r="J766" s="91"/>
      <c r="K766" s="91"/>
      <c r="L766" s="91"/>
      <c r="M766" s="91"/>
      <c r="N766" s="91"/>
      <c r="O766" s="91"/>
      <c r="P766" s="91"/>
      <c r="Q766" s="91"/>
      <c r="R766" s="91"/>
      <c r="S766" s="91"/>
      <c r="T766" s="91"/>
      <c r="U766" s="91"/>
      <c r="V766" s="91"/>
    </row>
    <row r="767" spans="1:22" ht="12" hidden="1" customHeight="1">
      <c r="A767" s="91"/>
      <c r="B767" s="91"/>
      <c r="C767" s="91"/>
      <c r="D767" s="91"/>
      <c r="E767" s="91"/>
      <c r="F767" s="92"/>
      <c r="G767" s="92"/>
      <c r="H767" s="92"/>
      <c r="I767" s="92"/>
      <c r="J767" s="91"/>
      <c r="K767" s="91"/>
      <c r="L767" s="91"/>
      <c r="M767" s="91"/>
      <c r="N767" s="91"/>
      <c r="O767" s="91"/>
      <c r="P767" s="91"/>
      <c r="Q767" s="91"/>
      <c r="R767" s="91"/>
      <c r="S767" s="91"/>
      <c r="T767" s="91"/>
      <c r="U767" s="91"/>
      <c r="V767" s="91"/>
    </row>
    <row r="768" spans="1:22" ht="12" hidden="1" customHeight="1">
      <c r="A768" s="91"/>
      <c r="B768" s="91"/>
      <c r="C768" s="91"/>
      <c r="D768" s="91"/>
      <c r="E768" s="91"/>
      <c r="F768" s="92"/>
      <c r="G768" s="92"/>
      <c r="H768" s="92"/>
      <c r="I768" s="92"/>
      <c r="J768" s="91"/>
      <c r="K768" s="91"/>
      <c r="L768" s="91"/>
      <c r="M768" s="91"/>
      <c r="N768" s="91"/>
      <c r="O768" s="91"/>
      <c r="P768" s="91"/>
      <c r="Q768" s="91"/>
      <c r="R768" s="91"/>
      <c r="S768" s="91"/>
      <c r="T768" s="91"/>
      <c r="U768" s="91"/>
      <c r="V768" s="91"/>
    </row>
    <row r="769" spans="1:22" ht="12" hidden="1" customHeight="1">
      <c r="A769" s="91"/>
      <c r="B769" s="91"/>
      <c r="C769" s="91"/>
      <c r="D769" s="91"/>
      <c r="E769" s="91"/>
      <c r="F769" s="92"/>
      <c r="G769" s="92"/>
      <c r="H769" s="92"/>
      <c r="I769" s="92"/>
      <c r="J769" s="91"/>
      <c r="K769" s="91"/>
      <c r="L769" s="91"/>
      <c r="M769" s="91"/>
      <c r="N769" s="91"/>
      <c r="O769" s="91"/>
      <c r="P769" s="91"/>
      <c r="Q769" s="91"/>
      <c r="R769" s="91"/>
      <c r="S769" s="91"/>
      <c r="T769" s="91"/>
      <c r="U769" s="91"/>
      <c r="V769" s="91"/>
    </row>
    <row r="770" spans="1:22" ht="12" hidden="1" customHeight="1">
      <c r="A770" s="91"/>
      <c r="B770" s="91"/>
      <c r="C770" s="91"/>
      <c r="D770" s="91"/>
      <c r="E770" s="91"/>
      <c r="F770" s="92"/>
      <c r="G770" s="92"/>
      <c r="H770" s="92"/>
      <c r="I770" s="92"/>
      <c r="J770" s="91"/>
      <c r="K770" s="91"/>
      <c r="L770" s="91"/>
      <c r="M770" s="91"/>
      <c r="N770" s="91"/>
      <c r="O770" s="91"/>
      <c r="P770" s="91"/>
      <c r="Q770" s="91"/>
      <c r="R770" s="91"/>
      <c r="S770" s="91"/>
      <c r="T770" s="91"/>
      <c r="U770" s="91"/>
      <c r="V770" s="91"/>
    </row>
    <row r="771" spans="1:22" ht="12" hidden="1" customHeight="1">
      <c r="A771" s="91"/>
      <c r="B771" s="91"/>
      <c r="C771" s="91"/>
      <c r="D771" s="91"/>
      <c r="E771" s="91"/>
      <c r="F771" s="92"/>
      <c r="G771" s="92"/>
      <c r="H771" s="92"/>
      <c r="I771" s="92"/>
      <c r="J771" s="91"/>
      <c r="K771" s="91"/>
      <c r="L771" s="91"/>
      <c r="M771" s="91"/>
      <c r="N771" s="91"/>
      <c r="O771" s="91"/>
      <c r="P771" s="91"/>
      <c r="Q771" s="91"/>
      <c r="R771" s="91"/>
      <c r="S771" s="91"/>
      <c r="T771" s="91"/>
      <c r="U771" s="91"/>
      <c r="V771" s="91"/>
    </row>
    <row r="772" spans="1:22" ht="12" hidden="1" customHeight="1">
      <c r="A772" s="91"/>
      <c r="B772" s="91"/>
      <c r="C772" s="91"/>
      <c r="D772" s="91"/>
      <c r="E772" s="91"/>
      <c r="F772" s="92"/>
      <c r="G772" s="92"/>
      <c r="H772" s="92"/>
      <c r="I772" s="92"/>
      <c r="J772" s="91"/>
      <c r="K772" s="91"/>
      <c r="L772" s="91"/>
      <c r="M772" s="91"/>
      <c r="N772" s="91"/>
      <c r="O772" s="91"/>
      <c r="P772" s="91"/>
      <c r="Q772" s="91"/>
      <c r="R772" s="91"/>
      <c r="S772" s="91"/>
      <c r="T772" s="91"/>
      <c r="U772" s="91"/>
      <c r="V772" s="91"/>
    </row>
    <row r="773" spans="1:22" ht="12" hidden="1" customHeight="1">
      <c r="A773" s="91"/>
      <c r="B773" s="91"/>
      <c r="C773" s="91"/>
      <c r="D773" s="91"/>
      <c r="E773" s="91"/>
      <c r="F773" s="92"/>
      <c r="G773" s="92"/>
      <c r="H773" s="92"/>
      <c r="I773" s="92"/>
      <c r="J773" s="91"/>
      <c r="K773" s="91"/>
      <c r="L773" s="91"/>
      <c r="M773" s="91"/>
      <c r="N773" s="91"/>
      <c r="O773" s="91"/>
      <c r="P773" s="91"/>
      <c r="Q773" s="91"/>
      <c r="R773" s="91"/>
      <c r="S773" s="91"/>
      <c r="T773" s="91"/>
      <c r="U773" s="91"/>
      <c r="V773" s="91"/>
    </row>
    <row r="774" spans="1:22" ht="12" hidden="1" customHeight="1">
      <c r="A774" s="91"/>
      <c r="B774" s="91"/>
      <c r="C774" s="91"/>
      <c r="D774" s="91"/>
      <c r="E774" s="91"/>
      <c r="F774" s="92"/>
      <c r="G774" s="92"/>
      <c r="H774" s="92"/>
      <c r="I774" s="92"/>
      <c r="J774" s="91"/>
      <c r="K774" s="91"/>
      <c r="L774" s="91"/>
      <c r="M774" s="91"/>
      <c r="N774" s="91"/>
      <c r="O774" s="91"/>
      <c r="P774" s="91"/>
      <c r="Q774" s="91"/>
      <c r="R774" s="91"/>
      <c r="S774" s="91"/>
      <c r="T774" s="91"/>
      <c r="U774" s="91"/>
      <c r="V774" s="91"/>
    </row>
    <row r="775" spans="1:22" ht="12" hidden="1" customHeight="1">
      <c r="A775" s="91"/>
      <c r="B775" s="91"/>
      <c r="C775" s="91"/>
      <c r="D775" s="91"/>
      <c r="E775" s="91"/>
      <c r="F775" s="92"/>
      <c r="G775" s="92"/>
      <c r="H775" s="92"/>
      <c r="I775" s="92"/>
      <c r="J775" s="91"/>
      <c r="K775" s="91"/>
      <c r="L775" s="91"/>
      <c r="M775" s="91"/>
      <c r="N775" s="91"/>
      <c r="O775" s="91"/>
      <c r="P775" s="91"/>
      <c r="Q775" s="91"/>
      <c r="R775" s="91"/>
      <c r="S775" s="91"/>
      <c r="T775" s="91"/>
      <c r="U775" s="91"/>
      <c r="V775" s="91"/>
    </row>
    <row r="776" spans="1:22" ht="12" hidden="1" customHeight="1">
      <c r="A776" s="91"/>
      <c r="B776" s="91"/>
      <c r="C776" s="91"/>
      <c r="D776" s="91"/>
      <c r="E776" s="91"/>
      <c r="F776" s="92"/>
      <c r="G776" s="92"/>
      <c r="H776" s="92"/>
      <c r="I776" s="92"/>
      <c r="J776" s="91"/>
      <c r="K776" s="91"/>
      <c r="L776" s="91"/>
      <c r="M776" s="91"/>
      <c r="N776" s="91"/>
      <c r="O776" s="91"/>
      <c r="P776" s="91"/>
      <c r="Q776" s="91"/>
      <c r="R776" s="91"/>
      <c r="S776" s="91"/>
      <c r="T776" s="91"/>
      <c r="U776" s="91"/>
      <c r="V776" s="91"/>
    </row>
    <row r="777" spans="1:22" ht="12" hidden="1" customHeight="1">
      <c r="A777" s="91"/>
      <c r="B777" s="91"/>
      <c r="C777" s="91"/>
      <c r="D777" s="91"/>
      <c r="E777" s="91"/>
      <c r="F777" s="92"/>
      <c r="G777" s="92"/>
      <c r="H777" s="92"/>
      <c r="I777" s="92"/>
      <c r="J777" s="91"/>
      <c r="K777" s="91"/>
      <c r="L777" s="91"/>
      <c r="M777" s="91"/>
      <c r="N777" s="91"/>
      <c r="O777" s="91"/>
      <c r="P777" s="91"/>
      <c r="Q777" s="91"/>
      <c r="R777" s="91"/>
      <c r="S777" s="91"/>
      <c r="T777" s="91"/>
      <c r="U777" s="91"/>
      <c r="V777" s="91"/>
    </row>
    <row r="778" spans="1:22" ht="12" hidden="1" customHeight="1">
      <c r="A778" s="91"/>
      <c r="B778" s="91"/>
      <c r="C778" s="91"/>
      <c r="D778" s="91"/>
      <c r="E778" s="91"/>
      <c r="F778" s="92"/>
      <c r="G778" s="92"/>
      <c r="H778" s="92"/>
      <c r="I778" s="92"/>
      <c r="J778" s="91"/>
      <c r="K778" s="91"/>
      <c r="L778" s="91"/>
      <c r="M778" s="91"/>
      <c r="N778" s="91"/>
      <c r="O778" s="91"/>
      <c r="P778" s="91"/>
      <c r="Q778" s="91"/>
      <c r="R778" s="91"/>
      <c r="S778" s="91"/>
      <c r="T778" s="91"/>
      <c r="U778" s="91"/>
      <c r="V778" s="91"/>
    </row>
    <row r="779" spans="1:22" ht="12" hidden="1" customHeight="1">
      <c r="A779" s="91"/>
      <c r="B779" s="91"/>
      <c r="C779" s="91"/>
      <c r="D779" s="91"/>
      <c r="E779" s="91"/>
      <c r="F779" s="92"/>
      <c r="G779" s="92"/>
      <c r="H779" s="92"/>
      <c r="I779" s="92"/>
      <c r="J779" s="91"/>
      <c r="K779" s="91"/>
      <c r="L779" s="91"/>
      <c r="M779" s="91"/>
      <c r="N779" s="91"/>
      <c r="O779" s="91"/>
      <c r="P779" s="91"/>
      <c r="Q779" s="91"/>
      <c r="R779" s="91"/>
      <c r="S779" s="91"/>
      <c r="T779" s="91"/>
      <c r="U779" s="91"/>
      <c r="V779" s="91"/>
    </row>
    <row r="780" spans="1:22" ht="12" hidden="1" customHeight="1">
      <c r="A780" s="91"/>
      <c r="B780" s="91"/>
      <c r="C780" s="91"/>
      <c r="D780" s="91"/>
      <c r="E780" s="91"/>
      <c r="F780" s="92"/>
      <c r="G780" s="92"/>
      <c r="H780" s="92"/>
      <c r="I780" s="92"/>
      <c r="J780" s="91"/>
      <c r="K780" s="91"/>
      <c r="L780" s="91"/>
      <c r="M780" s="91"/>
      <c r="N780" s="91"/>
      <c r="O780" s="91"/>
      <c r="P780" s="91"/>
      <c r="Q780" s="91"/>
      <c r="R780" s="91"/>
      <c r="S780" s="91"/>
      <c r="T780" s="91"/>
      <c r="U780" s="91"/>
      <c r="V780" s="91"/>
    </row>
    <row r="781" spans="1:22" ht="12" hidden="1" customHeight="1">
      <c r="A781" s="91"/>
      <c r="B781" s="91"/>
      <c r="C781" s="91"/>
      <c r="D781" s="91"/>
      <c r="E781" s="91"/>
      <c r="F781" s="92"/>
      <c r="G781" s="92"/>
      <c r="H781" s="92"/>
      <c r="I781" s="92"/>
      <c r="J781" s="91"/>
      <c r="K781" s="91"/>
      <c r="L781" s="91"/>
      <c r="M781" s="91"/>
      <c r="N781" s="91"/>
      <c r="O781" s="91"/>
      <c r="P781" s="91"/>
      <c r="Q781" s="91"/>
      <c r="R781" s="91"/>
      <c r="S781" s="91"/>
      <c r="T781" s="91"/>
      <c r="U781" s="91"/>
      <c r="V781" s="91"/>
    </row>
    <row r="782" spans="1:22" ht="12" hidden="1" customHeight="1">
      <c r="A782" s="91"/>
      <c r="B782" s="91"/>
      <c r="C782" s="91"/>
      <c r="D782" s="91"/>
      <c r="E782" s="91"/>
      <c r="F782" s="92"/>
      <c r="G782" s="92"/>
      <c r="H782" s="92"/>
      <c r="I782" s="92"/>
      <c r="J782" s="91"/>
      <c r="K782" s="91"/>
      <c r="L782" s="91"/>
      <c r="M782" s="91"/>
      <c r="N782" s="91"/>
      <c r="O782" s="91"/>
      <c r="P782" s="91"/>
      <c r="Q782" s="91"/>
      <c r="R782" s="91"/>
      <c r="S782" s="91"/>
      <c r="T782" s="91"/>
      <c r="U782" s="91"/>
      <c r="V782" s="91"/>
    </row>
    <row r="783" spans="1:22" ht="12" hidden="1" customHeight="1">
      <c r="A783" s="91"/>
      <c r="B783" s="91"/>
      <c r="C783" s="91"/>
      <c r="D783" s="91"/>
      <c r="E783" s="91"/>
      <c r="F783" s="92"/>
      <c r="G783" s="92"/>
      <c r="H783" s="92"/>
      <c r="I783" s="92"/>
      <c r="J783" s="91"/>
      <c r="K783" s="91"/>
      <c r="L783" s="91"/>
      <c r="M783" s="91"/>
      <c r="N783" s="91"/>
      <c r="O783" s="91"/>
      <c r="P783" s="91"/>
      <c r="Q783" s="91"/>
      <c r="R783" s="91"/>
      <c r="S783" s="91"/>
      <c r="T783" s="91"/>
      <c r="U783" s="91"/>
      <c r="V783" s="91"/>
    </row>
    <row r="784" spans="1:22" ht="12" hidden="1" customHeight="1">
      <c r="A784" s="91"/>
      <c r="B784" s="91"/>
      <c r="C784" s="91"/>
      <c r="D784" s="91"/>
      <c r="E784" s="91"/>
      <c r="F784" s="92"/>
      <c r="G784" s="92"/>
      <c r="H784" s="92"/>
      <c r="I784" s="92"/>
      <c r="J784" s="91"/>
      <c r="K784" s="91"/>
      <c r="L784" s="91"/>
      <c r="M784" s="91"/>
      <c r="N784" s="91"/>
      <c r="O784" s="91"/>
      <c r="P784" s="91"/>
      <c r="Q784" s="91"/>
      <c r="R784" s="91"/>
      <c r="S784" s="91"/>
      <c r="T784" s="91"/>
      <c r="U784" s="91"/>
      <c r="V784" s="91"/>
    </row>
    <row r="785" spans="1:22" ht="12" hidden="1" customHeight="1">
      <c r="A785" s="91"/>
      <c r="B785" s="91"/>
      <c r="C785" s="91"/>
      <c r="D785" s="91"/>
      <c r="E785" s="91"/>
      <c r="F785" s="92"/>
      <c r="G785" s="92"/>
      <c r="H785" s="92"/>
      <c r="I785" s="92"/>
      <c r="J785" s="91"/>
      <c r="K785" s="91"/>
      <c r="L785" s="91"/>
      <c r="M785" s="91"/>
      <c r="N785" s="91"/>
      <c r="O785" s="91"/>
      <c r="P785" s="91"/>
      <c r="Q785" s="91"/>
      <c r="R785" s="91"/>
      <c r="S785" s="91"/>
      <c r="T785" s="91"/>
      <c r="U785" s="91"/>
      <c r="V785" s="91"/>
    </row>
    <row r="786" spans="1:22" ht="12" hidden="1" customHeight="1">
      <c r="A786" s="91"/>
      <c r="B786" s="91"/>
      <c r="C786" s="91"/>
      <c r="D786" s="91"/>
      <c r="E786" s="91"/>
      <c r="F786" s="92"/>
      <c r="G786" s="92"/>
      <c r="H786" s="92"/>
      <c r="I786" s="92"/>
      <c r="J786" s="91"/>
      <c r="K786" s="91"/>
      <c r="L786" s="91"/>
      <c r="M786" s="91"/>
      <c r="N786" s="91"/>
      <c r="O786" s="91"/>
      <c r="P786" s="91"/>
      <c r="Q786" s="91"/>
      <c r="R786" s="91"/>
      <c r="S786" s="91"/>
      <c r="T786" s="91"/>
      <c r="U786" s="91"/>
      <c r="V786" s="91"/>
    </row>
    <row r="787" spans="1:22" ht="12" hidden="1" customHeight="1">
      <c r="A787" s="91"/>
      <c r="B787" s="91"/>
      <c r="C787" s="91"/>
      <c r="D787" s="91"/>
      <c r="E787" s="91"/>
      <c r="F787" s="92"/>
      <c r="G787" s="92"/>
      <c r="H787" s="92"/>
      <c r="I787" s="92"/>
      <c r="J787" s="91"/>
      <c r="K787" s="91"/>
      <c r="L787" s="91"/>
      <c r="M787" s="91"/>
      <c r="N787" s="91"/>
      <c r="O787" s="91"/>
      <c r="P787" s="91"/>
      <c r="Q787" s="91"/>
      <c r="R787" s="91"/>
      <c r="S787" s="91"/>
      <c r="T787" s="91"/>
      <c r="U787" s="91"/>
      <c r="V787" s="91"/>
    </row>
    <row r="788" spans="1:22" ht="12" hidden="1" customHeight="1">
      <c r="A788" s="91"/>
      <c r="B788" s="91"/>
      <c r="C788" s="91"/>
      <c r="D788" s="91"/>
      <c r="E788" s="91"/>
      <c r="F788" s="92"/>
      <c r="G788" s="92"/>
      <c r="H788" s="92"/>
      <c r="I788" s="92"/>
      <c r="J788" s="91"/>
      <c r="K788" s="91"/>
      <c r="L788" s="91"/>
      <c r="M788" s="91"/>
      <c r="N788" s="91"/>
      <c r="O788" s="91"/>
      <c r="P788" s="91"/>
      <c r="Q788" s="91"/>
      <c r="R788" s="91"/>
      <c r="S788" s="91"/>
      <c r="T788" s="91"/>
      <c r="U788" s="91"/>
      <c r="V788" s="91"/>
    </row>
    <row r="789" spans="1:22" ht="12" hidden="1" customHeight="1">
      <c r="A789" s="91"/>
      <c r="B789" s="91"/>
      <c r="C789" s="91"/>
      <c r="D789" s="91"/>
      <c r="E789" s="91"/>
      <c r="F789" s="92"/>
      <c r="G789" s="92"/>
      <c r="H789" s="92"/>
      <c r="I789" s="92"/>
      <c r="J789" s="91"/>
      <c r="K789" s="91"/>
      <c r="L789" s="91"/>
      <c r="M789" s="91"/>
      <c r="N789" s="91"/>
      <c r="O789" s="91"/>
      <c r="P789" s="91"/>
      <c r="Q789" s="91"/>
      <c r="R789" s="91"/>
      <c r="S789" s="91"/>
      <c r="T789" s="91"/>
      <c r="U789" s="91"/>
      <c r="V789" s="91"/>
    </row>
    <row r="790" spans="1:22" ht="12" hidden="1" customHeight="1">
      <c r="A790" s="91"/>
      <c r="B790" s="91"/>
      <c r="C790" s="91"/>
      <c r="D790" s="91"/>
      <c r="E790" s="91"/>
      <c r="F790" s="92"/>
      <c r="G790" s="92"/>
      <c r="H790" s="92"/>
      <c r="I790" s="92"/>
      <c r="J790" s="91"/>
      <c r="K790" s="91"/>
      <c r="L790" s="91"/>
      <c r="M790" s="91"/>
      <c r="N790" s="91"/>
      <c r="O790" s="91"/>
      <c r="P790" s="91"/>
      <c r="Q790" s="91"/>
      <c r="R790" s="91"/>
      <c r="S790" s="91"/>
      <c r="T790" s="91"/>
      <c r="U790" s="91"/>
      <c r="V790" s="91"/>
    </row>
    <row r="791" spans="1:22" ht="12" hidden="1" customHeight="1">
      <c r="A791" s="91"/>
      <c r="B791" s="91"/>
      <c r="C791" s="91"/>
      <c r="D791" s="91"/>
      <c r="E791" s="91"/>
      <c r="F791" s="92"/>
      <c r="G791" s="92"/>
      <c r="H791" s="92"/>
      <c r="I791" s="92"/>
      <c r="J791" s="91"/>
      <c r="K791" s="91"/>
      <c r="L791" s="91"/>
      <c r="M791" s="91"/>
      <c r="N791" s="91"/>
      <c r="O791" s="91"/>
      <c r="P791" s="91"/>
      <c r="Q791" s="91"/>
      <c r="R791" s="91"/>
      <c r="S791" s="91"/>
      <c r="T791" s="91"/>
      <c r="U791" s="91"/>
      <c r="V791" s="91"/>
    </row>
    <row r="792" spans="1:22" ht="12" hidden="1" customHeight="1">
      <c r="A792" s="91"/>
      <c r="B792" s="91"/>
      <c r="C792" s="91"/>
      <c r="D792" s="91"/>
      <c r="E792" s="91"/>
      <c r="F792" s="92"/>
      <c r="G792" s="92"/>
      <c r="H792" s="92"/>
      <c r="I792" s="92"/>
      <c r="J792" s="91"/>
      <c r="K792" s="91"/>
      <c r="L792" s="91"/>
      <c r="M792" s="91"/>
      <c r="N792" s="91"/>
      <c r="O792" s="91"/>
      <c r="P792" s="91"/>
      <c r="Q792" s="91"/>
      <c r="R792" s="91"/>
      <c r="S792" s="91"/>
      <c r="T792" s="91"/>
      <c r="U792" s="91"/>
      <c r="V792" s="91"/>
    </row>
    <row r="793" spans="1:22" ht="12" hidden="1" customHeight="1">
      <c r="A793" s="91"/>
      <c r="B793" s="91"/>
      <c r="C793" s="91"/>
      <c r="D793" s="91"/>
      <c r="E793" s="91"/>
      <c r="F793" s="92"/>
      <c r="G793" s="92"/>
      <c r="H793" s="92"/>
      <c r="I793" s="92"/>
      <c r="J793" s="91"/>
      <c r="K793" s="91"/>
      <c r="L793" s="91"/>
      <c r="M793" s="91"/>
      <c r="N793" s="91"/>
      <c r="O793" s="91"/>
      <c r="P793" s="91"/>
      <c r="Q793" s="91"/>
      <c r="R793" s="91"/>
      <c r="S793" s="91"/>
      <c r="T793" s="91"/>
      <c r="U793" s="91"/>
      <c r="V793" s="91"/>
    </row>
    <row r="794" spans="1:22" ht="12" hidden="1" customHeight="1">
      <c r="A794" s="91"/>
      <c r="B794" s="91"/>
      <c r="C794" s="91"/>
      <c r="D794" s="91"/>
      <c r="E794" s="91"/>
      <c r="F794" s="92"/>
      <c r="G794" s="92"/>
      <c r="H794" s="92"/>
      <c r="I794" s="92"/>
      <c r="J794" s="91"/>
      <c r="K794" s="91"/>
      <c r="L794" s="91"/>
      <c r="M794" s="91"/>
      <c r="N794" s="91"/>
      <c r="O794" s="91"/>
      <c r="P794" s="91"/>
      <c r="Q794" s="91"/>
      <c r="R794" s="91"/>
      <c r="S794" s="91"/>
      <c r="T794" s="91"/>
      <c r="U794" s="91"/>
      <c r="V794" s="91"/>
    </row>
    <row r="795" spans="1:22" ht="12" hidden="1" customHeight="1">
      <c r="A795" s="91"/>
      <c r="B795" s="91"/>
      <c r="C795" s="91"/>
      <c r="D795" s="91"/>
      <c r="E795" s="91"/>
      <c r="F795" s="92"/>
      <c r="G795" s="92"/>
      <c r="H795" s="92"/>
      <c r="I795" s="92"/>
      <c r="J795" s="91"/>
      <c r="K795" s="91"/>
      <c r="L795" s="91"/>
      <c r="M795" s="91"/>
      <c r="N795" s="91"/>
      <c r="O795" s="91"/>
      <c r="P795" s="91"/>
      <c r="Q795" s="91"/>
      <c r="R795" s="91"/>
      <c r="S795" s="91"/>
      <c r="T795" s="91"/>
      <c r="U795" s="91"/>
      <c r="V795" s="91"/>
    </row>
    <row r="796" spans="1:22" ht="12" hidden="1" customHeight="1">
      <c r="A796" s="91"/>
      <c r="B796" s="91"/>
      <c r="C796" s="91"/>
      <c r="D796" s="91"/>
      <c r="E796" s="91"/>
      <c r="F796" s="92"/>
      <c r="G796" s="92"/>
      <c r="H796" s="92"/>
      <c r="I796" s="92"/>
      <c r="J796" s="91"/>
      <c r="K796" s="91"/>
      <c r="L796" s="91"/>
      <c r="M796" s="91"/>
      <c r="N796" s="91"/>
      <c r="O796" s="91"/>
      <c r="P796" s="91"/>
      <c r="Q796" s="91"/>
      <c r="R796" s="91"/>
      <c r="S796" s="91"/>
      <c r="T796" s="91"/>
      <c r="U796" s="91"/>
      <c r="V796" s="91"/>
    </row>
    <row r="797" spans="1:22" ht="12" hidden="1" customHeight="1">
      <c r="A797" s="91"/>
      <c r="B797" s="91"/>
      <c r="C797" s="91"/>
      <c r="D797" s="91"/>
      <c r="E797" s="91"/>
      <c r="F797" s="92"/>
      <c r="G797" s="92"/>
      <c r="H797" s="92"/>
      <c r="I797" s="92"/>
      <c r="J797" s="91"/>
      <c r="K797" s="91"/>
      <c r="L797" s="91"/>
      <c r="M797" s="91"/>
      <c r="N797" s="91"/>
      <c r="O797" s="91"/>
      <c r="P797" s="91"/>
      <c r="Q797" s="91"/>
      <c r="R797" s="91"/>
      <c r="S797" s="91"/>
      <c r="T797" s="91"/>
      <c r="U797" s="91"/>
      <c r="V797" s="91"/>
    </row>
    <row r="798" spans="1:22" ht="12" hidden="1" customHeight="1">
      <c r="A798" s="91"/>
      <c r="B798" s="91"/>
      <c r="C798" s="91"/>
      <c r="D798" s="91"/>
      <c r="E798" s="91"/>
      <c r="F798" s="92"/>
      <c r="G798" s="92"/>
      <c r="H798" s="92"/>
      <c r="I798" s="92"/>
      <c r="J798" s="91"/>
      <c r="K798" s="91"/>
      <c r="L798" s="91"/>
      <c r="M798" s="91"/>
      <c r="N798" s="91"/>
      <c r="O798" s="91"/>
      <c r="P798" s="91"/>
      <c r="Q798" s="91"/>
      <c r="R798" s="91"/>
      <c r="S798" s="91"/>
      <c r="T798" s="91"/>
      <c r="U798" s="91"/>
      <c r="V798" s="91"/>
    </row>
    <row r="799" spans="1:22" ht="12" hidden="1" customHeight="1">
      <c r="A799" s="91"/>
      <c r="B799" s="91"/>
      <c r="C799" s="91"/>
      <c r="D799" s="91"/>
      <c r="E799" s="91"/>
      <c r="F799" s="92"/>
      <c r="G799" s="92"/>
      <c r="H799" s="92"/>
      <c r="I799" s="92"/>
      <c r="J799" s="91"/>
      <c r="K799" s="91"/>
      <c r="L799" s="91"/>
      <c r="M799" s="91"/>
      <c r="N799" s="91"/>
      <c r="O799" s="91"/>
      <c r="P799" s="91"/>
      <c r="Q799" s="91"/>
      <c r="R799" s="91"/>
      <c r="S799" s="91"/>
      <c r="T799" s="91"/>
      <c r="U799" s="91"/>
      <c r="V799" s="91"/>
    </row>
    <row r="800" spans="1:22" ht="12" hidden="1" customHeight="1">
      <c r="A800" s="91"/>
      <c r="B800" s="91"/>
      <c r="C800" s="91"/>
      <c r="D800" s="91"/>
      <c r="E800" s="91"/>
      <c r="F800" s="92"/>
      <c r="G800" s="92"/>
      <c r="H800" s="92"/>
      <c r="I800" s="92"/>
      <c r="J800" s="91"/>
      <c r="K800" s="91"/>
      <c r="L800" s="91"/>
      <c r="M800" s="91"/>
      <c r="N800" s="91"/>
      <c r="O800" s="91"/>
      <c r="P800" s="91"/>
      <c r="Q800" s="91"/>
      <c r="R800" s="91"/>
      <c r="S800" s="91"/>
      <c r="T800" s="91"/>
      <c r="U800" s="91"/>
      <c r="V800" s="91"/>
    </row>
    <row r="801" spans="1:22" ht="12" hidden="1" customHeight="1">
      <c r="A801" s="91"/>
      <c r="B801" s="91"/>
      <c r="C801" s="91"/>
      <c r="D801" s="91"/>
      <c r="E801" s="91"/>
      <c r="F801" s="92"/>
      <c r="G801" s="92"/>
      <c r="H801" s="92"/>
      <c r="I801" s="92"/>
      <c r="J801" s="91"/>
      <c r="K801" s="91"/>
      <c r="L801" s="91"/>
      <c r="M801" s="91"/>
      <c r="N801" s="91"/>
      <c r="O801" s="91"/>
      <c r="P801" s="91"/>
      <c r="Q801" s="91"/>
      <c r="R801" s="91"/>
      <c r="S801" s="91"/>
      <c r="T801" s="91"/>
      <c r="U801" s="91"/>
      <c r="V801" s="91"/>
    </row>
    <row r="802" spans="1:22" ht="12" hidden="1" customHeight="1">
      <c r="A802" s="91"/>
      <c r="B802" s="91"/>
      <c r="C802" s="91"/>
      <c r="D802" s="91"/>
      <c r="E802" s="91"/>
      <c r="F802" s="92"/>
      <c r="G802" s="92"/>
      <c r="H802" s="92"/>
      <c r="I802" s="92"/>
      <c r="J802" s="91"/>
      <c r="K802" s="91"/>
      <c r="L802" s="91"/>
      <c r="M802" s="91"/>
      <c r="N802" s="91"/>
      <c r="O802" s="91"/>
      <c r="P802" s="91"/>
      <c r="Q802" s="91"/>
      <c r="R802" s="91"/>
      <c r="S802" s="91"/>
      <c r="T802" s="91"/>
      <c r="U802" s="91"/>
      <c r="V802" s="91"/>
    </row>
    <row r="803" spans="1:22" ht="12" hidden="1" customHeight="1">
      <c r="A803" s="91"/>
      <c r="B803" s="91"/>
      <c r="C803" s="91"/>
      <c r="D803" s="91"/>
      <c r="E803" s="91"/>
      <c r="F803" s="92"/>
      <c r="G803" s="92"/>
      <c r="H803" s="92"/>
      <c r="I803" s="92"/>
      <c r="J803" s="91"/>
      <c r="K803" s="91"/>
      <c r="L803" s="91"/>
      <c r="M803" s="91"/>
      <c r="N803" s="91"/>
      <c r="O803" s="91"/>
      <c r="P803" s="91"/>
      <c r="Q803" s="91"/>
      <c r="R803" s="91"/>
      <c r="S803" s="91"/>
      <c r="T803" s="91"/>
      <c r="U803" s="91"/>
      <c r="V803" s="91"/>
    </row>
    <row r="804" spans="1:22" ht="12" hidden="1" customHeight="1">
      <c r="A804" s="91"/>
      <c r="B804" s="91"/>
      <c r="C804" s="91"/>
      <c r="D804" s="91"/>
      <c r="E804" s="91"/>
      <c r="F804" s="92"/>
      <c r="G804" s="92"/>
      <c r="H804" s="92"/>
      <c r="I804" s="92"/>
      <c r="J804" s="91"/>
      <c r="K804" s="91"/>
      <c r="L804" s="91"/>
      <c r="M804" s="91"/>
      <c r="N804" s="91"/>
      <c r="O804" s="91"/>
      <c r="P804" s="91"/>
      <c r="Q804" s="91"/>
      <c r="R804" s="91"/>
      <c r="S804" s="91"/>
      <c r="T804" s="91"/>
      <c r="U804" s="91"/>
      <c r="V804" s="91"/>
    </row>
    <row r="805" spans="1:22" ht="12" hidden="1" customHeight="1">
      <c r="A805" s="91"/>
      <c r="B805" s="91"/>
      <c r="C805" s="91"/>
      <c r="D805" s="91"/>
      <c r="E805" s="91"/>
      <c r="F805" s="92"/>
      <c r="G805" s="92"/>
      <c r="H805" s="92"/>
      <c r="I805" s="92"/>
      <c r="J805" s="91"/>
      <c r="K805" s="91"/>
      <c r="L805" s="91"/>
      <c r="M805" s="91"/>
      <c r="N805" s="91"/>
      <c r="O805" s="91"/>
      <c r="P805" s="91"/>
      <c r="Q805" s="91"/>
      <c r="R805" s="91"/>
      <c r="S805" s="91"/>
      <c r="T805" s="91"/>
      <c r="U805" s="91"/>
      <c r="V805" s="91"/>
    </row>
    <row r="806" spans="1:22" ht="12" hidden="1" customHeight="1">
      <c r="A806" s="91"/>
      <c r="B806" s="91"/>
      <c r="C806" s="91"/>
      <c r="D806" s="91"/>
      <c r="E806" s="91"/>
      <c r="F806" s="92"/>
      <c r="G806" s="92"/>
      <c r="H806" s="92"/>
      <c r="I806" s="92"/>
      <c r="J806" s="91"/>
      <c r="K806" s="91"/>
      <c r="L806" s="91"/>
      <c r="M806" s="91"/>
      <c r="N806" s="91"/>
      <c r="O806" s="91"/>
      <c r="P806" s="91"/>
      <c r="Q806" s="91"/>
      <c r="R806" s="91"/>
      <c r="S806" s="91"/>
      <c r="T806" s="91"/>
      <c r="U806" s="91"/>
      <c r="V806" s="91"/>
    </row>
    <row r="807" spans="1:22" ht="12" hidden="1" customHeight="1">
      <c r="A807" s="91"/>
      <c r="B807" s="91"/>
      <c r="C807" s="91"/>
      <c r="D807" s="91"/>
      <c r="E807" s="91"/>
      <c r="F807" s="92"/>
      <c r="G807" s="92"/>
      <c r="H807" s="92"/>
      <c r="I807" s="92"/>
      <c r="J807" s="91"/>
      <c r="K807" s="91"/>
      <c r="L807" s="91"/>
      <c r="M807" s="91"/>
      <c r="N807" s="91"/>
      <c r="O807" s="91"/>
      <c r="P807" s="91"/>
      <c r="Q807" s="91"/>
      <c r="R807" s="91"/>
      <c r="S807" s="91"/>
      <c r="T807" s="91"/>
      <c r="U807" s="91"/>
      <c r="V807" s="91"/>
    </row>
    <row r="808" spans="1:22" ht="12" hidden="1" customHeight="1">
      <c r="A808" s="91"/>
      <c r="B808" s="91"/>
      <c r="C808" s="91"/>
      <c r="D808" s="91"/>
      <c r="E808" s="91"/>
      <c r="F808" s="92"/>
      <c r="G808" s="92"/>
      <c r="H808" s="92"/>
      <c r="I808" s="92"/>
      <c r="J808" s="91"/>
      <c r="K808" s="91"/>
      <c r="L808" s="91"/>
      <c r="M808" s="91"/>
      <c r="N808" s="91"/>
      <c r="O808" s="91"/>
      <c r="P808" s="91"/>
      <c r="Q808" s="91"/>
      <c r="R808" s="91"/>
      <c r="S808" s="91"/>
      <c r="T808" s="91"/>
      <c r="U808" s="91"/>
      <c r="V808" s="91"/>
    </row>
    <row r="809" spans="1:22" ht="12" hidden="1" customHeight="1">
      <c r="A809" s="91"/>
      <c r="B809" s="91"/>
      <c r="C809" s="91"/>
      <c r="D809" s="91"/>
      <c r="E809" s="91"/>
      <c r="F809" s="92"/>
      <c r="G809" s="92"/>
      <c r="H809" s="92"/>
      <c r="I809" s="92"/>
      <c r="J809" s="91"/>
      <c r="K809" s="91"/>
      <c r="L809" s="91"/>
      <c r="M809" s="91"/>
      <c r="N809" s="91"/>
      <c r="O809" s="91"/>
      <c r="P809" s="91"/>
      <c r="Q809" s="91"/>
      <c r="R809" s="91"/>
      <c r="S809" s="91"/>
      <c r="T809" s="91"/>
      <c r="U809" s="91"/>
      <c r="V809" s="91"/>
    </row>
    <row r="810" spans="1:22" ht="12" hidden="1" customHeight="1">
      <c r="A810" s="91"/>
      <c r="B810" s="91"/>
      <c r="C810" s="91"/>
      <c r="D810" s="91"/>
      <c r="E810" s="91"/>
      <c r="F810" s="92"/>
      <c r="G810" s="92"/>
      <c r="H810" s="92"/>
      <c r="I810" s="92"/>
      <c r="J810" s="91"/>
      <c r="K810" s="91"/>
      <c r="L810" s="91"/>
      <c r="M810" s="91"/>
      <c r="N810" s="91"/>
      <c r="O810" s="91"/>
      <c r="P810" s="91"/>
      <c r="Q810" s="91"/>
      <c r="R810" s="91"/>
      <c r="S810" s="91"/>
      <c r="T810" s="91"/>
      <c r="U810" s="91"/>
      <c r="V810" s="91"/>
    </row>
    <row r="811" spans="1:22" ht="12" hidden="1" customHeight="1">
      <c r="A811" s="91"/>
      <c r="B811" s="91"/>
      <c r="C811" s="91"/>
      <c r="D811" s="91"/>
      <c r="E811" s="91"/>
      <c r="F811" s="92"/>
      <c r="G811" s="92"/>
      <c r="H811" s="92"/>
      <c r="I811" s="92"/>
      <c r="J811" s="91"/>
      <c r="K811" s="91"/>
      <c r="L811" s="91"/>
      <c r="M811" s="91"/>
      <c r="N811" s="91"/>
      <c r="O811" s="91"/>
      <c r="P811" s="91"/>
      <c r="Q811" s="91"/>
      <c r="R811" s="91"/>
      <c r="S811" s="91"/>
      <c r="T811" s="91"/>
      <c r="U811" s="91"/>
      <c r="V811" s="91"/>
    </row>
    <row r="812" spans="1:22" ht="12" hidden="1" customHeight="1">
      <c r="A812" s="91"/>
      <c r="B812" s="91"/>
      <c r="C812" s="91"/>
      <c r="D812" s="91"/>
      <c r="E812" s="91"/>
      <c r="F812" s="92"/>
      <c r="G812" s="92"/>
      <c r="H812" s="92"/>
      <c r="I812" s="92"/>
      <c r="J812" s="91"/>
      <c r="K812" s="91"/>
      <c r="L812" s="91"/>
      <c r="M812" s="91"/>
      <c r="N812" s="91"/>
      <c r="O812" s="91"/>
      <c r="P812" s="91"/>
      <c r="Q812" s="91"/>
      <c r="R812" s="91"/>
      <c r="S812" s="91"/>
      <c r="T812" s="91"/>
      <c r="U812" s="91"/>
      <c r="V812" s="91"/>
    </row>
    <row r="813" spans="1:22" ht="12" hidden="1" customHeight="1">
      <c r="A813" s="91"/>
      <c r="B813" s="91"/>
      <c r="C813" s="91"/>
      <c r="D813" s="91"/>
      <c r="E813" s="91"/>
      <c r="F813" s="92"/>
      <c r="G813" s="92"/>
      <c r="H813" s="92"/>
      <c r="I813" s="92"/>
      <c r="J813" s="91"/>
      <c r="K813" s="91"/>
      <c r="L813" s="91"/>
      <c r="M813" s="91"/>
      <c r="N813" s="91"/>
      <c r="O813" s="91"/>
      <c r="P813" s="91"/>
      <c r="Q813" s="91"/>
      <c r="R813" s="91"/>
      <c r="S813" s="91"/>
      <c r="T813" s="91"/>
      <c r="U813" s="91"/>
      <c r="V813" s="91"/>
    </row>
    <row r="814" spans="1:22" ht="12" hidden="1" customHeight="1">
      <c r="A814" s="91"/>
      <c r="B814" s="91"/>
      <c r="C814" s="91"/>
      <c r="D814" s="91"/>
      <c r="E814" s="91"/>
      <c r="F814" s="92"/>
      <c r="G814" s="92"/>
      <c r="H814" s="92"/>
      <c r="I814" s="92"/>
      <c r="J814" s="91"/>
      <c r="K814" s="91"/>
      <c r="L814" s="91"/>
      <c r="M814" s="91"/>
      <c r="N814" s="91"/>
      <c r="O814" s="91"/>
      <c r="P814" s="91"/>
      <c r="Q814" s="91"/>
      <c r="R814" s="91"/>
      <c r="S814" s="91"/>
      <c r="T814" s="91"/>
      <c r="U814" s="91"/>
      <c r="V814" s="91"/>
    </row>
    <row r="815" spans="1:22" ht="12" hidden="1" customHeight="1">
      <c r="A815" s="91"/>
      <c r="B815" s="91"/>
      <c r="C815" s="91"/>
      <c r="D815" s="91"/>
      <c r="E815" s="91"/>
      <c r="F815" s="92"/>
      <c r="G815" s="92"/>
      <c r="H815" s="92"/>
      <c r="I815" s="92"/>
      <c r="J815" s="91"/>
      <c r="K815" s="91"/>
      <c r="L815" s="91"/>
      <c r="M815" s="91"/>
      <c r="N815" s="91"/>
      <c r="O815" s="91"/>
      <c r="P815" s="91"/>
      <c r="Q815" s="91"/>
      <c r="R815" s="91"/>
      <c r="S815" s="91"/>
      <c r="T815" s="91"/>
      <c r="U815" s="91"/>
      <c r="V815" s="91"/>
    </row>
    <row r="816" spans="1:22" ht="12" hidden="1" customHeight="1">
      <c r="A816" s="91"/>
      <c r="B816" s="91"/>
      <c r="C816" s="91"/>
      <c r="D816" s="91"/>
      <c r="E816" s="91"/>
      <c r="F816" s="92"/>
      <c r="G816" s="92"/>
      <c r="H816" s="92"/>
      <c r="I816" s="92"/>
      <c r="J816" s="91"/>
      <c r="K816" s="91"/>
      <c r="L816" s="91"/>
      <c r="M816" s="91"/>
      <c r="N816" s="91"/>
      <c r="O816" s="91"/>
      <c r="P816" s="91"/>
      <c r="Q816" s="91"/>
      <c r="R816" s="91"/>
      <c r="S816" s="91"/>
      <c r="T816" s="91"/>
      <c r="U816" s="91"/>
      <c r="V816" s="91"/>
    </row>
    <row r="817" spans="1:22" ht="12" hidden="1" customHeight="1">
      <c r="A817" s="91"/>
      <c r="B817" s="91"/>
      <c r="C817" s="91"/>
      <c r="D817" s="91"/>
      <c r="E817" s="91"/>
      <c r="F817" s="92"/>
      <c r="G817" s="92"/>
      <c r="H817" s="92"/>
      <c r="I817" s="92"/>
      <c r="J817" s="91"/>
      <c r="K817" s="91"/>
      <c r="L817" s="91"/>
      <c r="M817" s="91"/>
      <c r="N817" s="91"/>
      <c r="O817" s="91"/>
      <c r="P817" s="91"/>
      <c r="Q817" s="91"/>
      <c r="R817" s="91"/>
      <c r="S817" s="91"/>
      <c r="T817" s="91"/>
      <c r="U817" s="91"/>
      <c r="V817" s="91"/>
    </row>
    <row r="818" spans="1:22" ht="12" hidden="1" customHeight="1">
      <c r="A818" s="91"/>
      <c r="B818" s="91"/>
      <c r="C818" s="91"/>
      <c r="D818" s="91"/>
      <c r="E818" s="91"/>
      <c r="F818" s="92"/>
      <c r="G818" s="92"/>
      <c r="H818" s="92"/>
      <c r="I818" s="92"/>
      <c r="J818" s="91"/>
      <c r="K818" s="91"/>
      <c r="L818" s="91"/>
      <c r="M818" s="91"/>
      <c r="N818" s="91"/>
      <c r="O818" s="91"/>
      <c r="P818" s="91"/>
      <c r="Q818" s="91"/>
      <c r="R818" s="91"/>
      <c r="S818" s="91"/>
      <c r="T818" s="91"/>
      <c r="U818" s="91"/>
      <c r="V818" s="91"/>
    </row>
    <row r="819" spans="1:22" ht="12" hidden="1" customHeight="1">
      <c r="A819" s="91"/>
      <c r="B819" s="91"/>
      <c r="C819" s="91"/>
      <c r="D819" s="91"/>
      <c r="E819" s="91"/>
      <c r="F819" s="92"/>
      <c r="G819" s="92"/>
      <c r="H819" s="92"/>
      <c r="I819" s="92"/>
      <c r="J819" s="91"/>
      <c r="K819" s="91"/>
      <c r="L819" s="91"/>
      <c r="M819" s="91"/>
      <c r="N819" s="91"/>
      <c r="O819" s="91"/>
      <c r="P819" s="91"/>
      <c r="Q819" s="91"/>
      <c r="R819" s="91"/>
      <c r="S819" s="91"/>
      <c r="T819" s="91"/>
      <c r="U819" s="91"/>
      <c r="V819" s="91"/>
    </row>
    <row r="820" spans="1:22" ht="12" hidden="1" customHeight="1">
      <c r="A820" s="91"/>
      <c r="B820" s="91"/>
      <c r="C820" s="91"/>
      <c r="D820" s="91"/>
      <c r="E820" s="91"/>
      <c r="F820" s="92"/>
      <c r="G820" s="92"/>
      <c r="H820" s="92"/>
      <c r="I820" s="92"/>
      <c r="J820" s="91"/>
      <c r="K820" s="91"/>
      <c r="L820" s="91"/>
      <c r="M820" s="91"/>
      <c r="N820" s="91"/>
      <c r="O820" s="91"/>
      <c r="P820" s="91"/>
      <c r="Q820" s="91"/>
      <c r="R820" s="91"/>
      <c r="S820" s="91"/>
      <c r="T820" s="91"/>
      <c r="U820" s="91"/>
      <c r="V820" s="91"/>
    </row>
    <row r="821" spans="1:22" ht="12" hidden="1" customHeight="1">
      <c r="A821" s="91"/>
      <c r="B821" s="91"/>
      <c r="C821" s="91"/>
      <c r="D821" s="91"/>
      <c r="E821" s="91"/>
      <c r="F821" s="92"/>
      <c r="G821" s="92"/>
      <c r="H821" s="92"/>
      <c r="I821" s="92"/>
      <c r="J821" s="91"/>
      <c r="K821" s="91"/>
      <c r="L821" s="91"/>
      <c r="M821" s="91"/>
      <c r="N821" s="91"/>
      <c r="O821" s="91"/>
      <c r="P821" s="91"/>
      <c r="Q821" s="91"/>
      <c r="R821" s="91"/>
      <c r="S821" s="91"/>
      <c r="T821" s="91"/>
      <c r="U821" s="91"/>
      <c r="V821" s="91"/>
    </row>
    <row r="822" spans="1:22" ht="12" hidden="1" customHeight="1">
      <c r="A822" s="91"/>
      <c r="B822" s="91"/>
      <c r="C822" s="91"/>
      <c r="D822" s="91"/>
      <c r="E822" s="91"/>
      <c r="F822" s="92"/>
      <c r="G822" s="92"/>
      <c r="H822" s="92"/>
      <c r="I822" s="92"/>
      <c r="J822" s="91"/>
      <c r="K822" s="91"/>
      <c r="L822" s="91"/>
      <c r="M822" s="91"/>
      <c r="N822" s="91"/>
      <c r="O822" s="91"/>
      <c r="P822" s="91"/>
      <c r="Q822" s="91"/>
      <c r="R822" s="91"/>
      <c r="S822" s="91"/>
      <c r="T822" s="91"/>
      <c r="U822" s="91"/>
      <c r="V822" s="91"/>
    </row>
    <row r="823" spans="1:22" ht="12" hidden="1" customHeight="1">
      <c r="A823" s="91"/>
      <c r="B823" s="91"/>
      <c r="C823" s="91"/>
      <c r="D823" s="91"/>
      <c r="E823" s="91"/>
      <c r="F823" s="92"/>
      <c r="G823" s="92"/>
      <c r="H823" s="92"/>
      <c r="I823" s="92"/>
      <c r="J823" s="91"/>
      <c r="K823" s="91"/>
      <c r="L823" s="91"/>
      <c r="M823" s="91"/>
      <c r="N823" s="91"/>
      <c r="O823" s="91"/>
      <c r="P823" s="91"/>
      <c r="Q823" s="91"/>
      <c r="R823" s="91"/>
      <c r="S823" s="91"/>
      <c r="T823" s="91"/>
      <c r="U823" s="91"/>
      <c r="V823" s="91"/>
    </row>
    <row r="824" spans="1:22" ht="12" hidden="1" customHeight="1">
      <c r="A824" s="91"/>
      <c r="B824" s="91"/>
      <c r="C824" s="91"/>
      <c r="D824" s="91"/>
      <c r="E824" s="91"/>
      <c r="F824" s="92"/>
      <c r="G824" s="92"/>
      <c r="H824" s="92"/>
      <c r="I824" s="92"/>
      <c r="J824" s="91"/>
      <c r="K824" s="91"/>
      <c r="L824" s="91"/>
      <c r="M824" s="91"/>
      <c r="N824" s="91"/>
      <c r="O824" s="91"/>
      <c r="P824" s="91"/>
      <c r="Q824" s="91"/>
      <c r="R824" s="91"/>
      <c r="S824" s="91"/>
      <c r="T824" s="91"/>
      <c r="U824" s="91"/>
      <c r="V824" s="91"/>
    </row>
    <row r="825" spans="1:22" ht="12" hidden="1" customHeight="1">
      <c r="A825" s="91"/>
      <c r="B825" s="91"/>
      <c r="C825" s="91"/>
      <c r="D825" s="91"/>
      <c r="E825" s="91"/>
      <c r="F825" s="92"/>
      <c r="G825" s="92"/>
      <c r="H825" s="92"/>
      <c r="I825" s="92"/>
      <c r="J825" s="91"/>
      <c r="K825" s="91"/>
      <c r="L825" s="91"/>
      <c r="M825" s="91"/>
      <c r="N825" s="91"/>
      <c r="O825" s="91"/>
      <c r="P825" s="91"/>
      <c r="Q825" s="91"/>
      <c r="R825" s="91"/>
      <c r="S825" s="91"/>
      <c r="T825" s="91"/>
      <c r="U825" s="91"/>
      <c r="V825" s="91"/>
    </row>
    <row r="826" spans="1:22" ht="12" hidden="1" customHeight="1">
      <c r="A826" s="91"/>
      <c r="B826" s="91"/>
      <c r="C826" s="91"/>
      <c r="D826" s="91"/>
      <c r="E826" s="91"/>
      <c r="F826" s="92"/>
      <c r="G826" s="92"/>
      <c r="H826" s="92"/>
      <c r="I826" s="92"/>
      <c r="J826" s="91"/>
      <c r="K826" s="91"/>
      <c r="L826" s="91"/>
      <c r="M826" s="91"/>
      <c r="N826" s="91"/>
      <c r="O826" s="91"/>
      <c r="P826" s="91"/>
      <c r="Q826" s="91"/>
      <c r="R826" s="91"/>
      <c r="S826" s="91"/>
      <c r="T826" s="91"/>
      <c r="U826" s="91"/>
      <c r="V826" s="91"/>
    </row>
    <row r="827" spans="1:22" ht="12" hidden="1" customHeight="1">
      <c r="A827" s="91"/>
      <c r="B827" s="91"/>
      <c r="C827" s="91"/>
      <c r="D827" s="91"/>
      <c r="E827" s="91"/>
      <c r="F827" s="92"/>
      <c r="G827" s="92"/>
      <c r="H827" s="92"/>
      <c r="I827" s="92"/>
      <c r="J827" s="91"/>
      <c r="K827" s="91"/>
      <c r="L827" s="91"/>
      <c r="M827" s="91"/>
      <c r="N827" s="91"/>
      <c r="O827" s="91"/>
      <c r="P827" s="91"/>
      <c r="Q827" s="91"/>
      <c r="R827" s="91"/>
      <c r="S827" s="91"/>
      <c r="T827" s="91"/>
      <c r="U827" s="91"/>
      <c r="V827" s="91"/>
    </row>
    <row r="828" spans="1:22" ht="12" hidden="1" customHeight="1">
      <c r="A828" s="91"/>
      <c r="B828" s="91"/>
      <c r="C828" s="91"/>
      <c r="D828" s="91"/>
      <c r="E828" s="91"/>
      <c r="F828" s="92"/>
      <c r="G828" s="92"/>
      <c r="H828" s="92"/>
      <c r="I828" s="92"/>
      <c r="J828" s="91"/>
      <c r="K828" s="91"/>
      <c r="L828" s="91"/>
      <c r="M828" s="91"/>
      <c r="N828" s="91"/>
      <c r="O828" s="91"/>
      <c r="P828" s="91"/>
      <c r="Q828" s="91"/>
      <c r="R828" s="91"/>
      <c r="S828" s="91"/>
      <c r="T828" s="91"/>
      <c r="U828" s="91"/>
      <c r="V828" s="91"/>
    </row>
    <row r="829" spans="1:22" ht="12" hidden="1" customHeight="1">
      <c r="A829" s="91"/>
      <c r="B829" s="91"/>
      <c r="C829" s="91"/>
      <c r="D829" s="91"/>
      <c r="E829" s="91"/>
      <c r="F829" s="92"/>
      <c r="G829" s="92"/>
      <c r="H829" s="92"/>
      <c r="I829" s="92"/>
      <c r="J829" s="91"/>
      <c r="K829" s="91"/>
      <c r="L829" s="91"/>
      <c r="M829" s="91"/>
      <c r="N829" s="91"/>
      <c r="O829" s="91"/>
      <c r="P829" s="91"/>
      <c r="Q829" s="91"/>
      <c r="R829" s="91"/>
      <c r="S829" s="91"/>
      <c r="T829" s="91"/>
      <c r="U829" s="91"/>
      <c r="V829" s="91"/>
    </row>
    <row r="830" spans="1:22" ht="12" hidden="1" customHeight="1">
      <c r="A830" s="91"/>
      <c r="B830" s="91"/>
      <c r="C830" s="91"/>
      <c r="D830" s="91"/>
      <c r="E830" s="91"/>
      <c r="F830" s="92"/>
      <c r="G830" s="92"/>
      <c r="H830" s="92"/>
      <c r="I830" s="92"/>
      <c r="J830" s="91"/>
      <c r="K830" s="91"/>
      <c r="L830" s="91"/>
      <c r="M830" s="91"/>
      <c r="N830" s="91"/>
      <c r="O830" s="91"/>
      <c r="P830" s="91"/>
      <c r="Q830" s="91"/>
      <c r="R830" s="91"/>
      <c r="S830" s="91"/>
      <c r="T830" s="91"/>
      <c r="U830" s="91"/>
      <c r="V830" s="91"/>
    </row>
    <row r="831" spans="1:22" ht="12" hidden="1" customHeight="1">
      <c r="A831" s="91"/>
      <c r="B831" s="91"/>
      <c r="C831" s="91"/>
      <c r="D831" s="91"/>
      <c r="E831" s="91"/>
      <c r="F831" s="92"/>
      <c r="G831" s="92"/>
      <c r="H831" s="92"/>
      <c r="I831" s="92"/>
      <c r="J831" s="91"/>
      <c r="K831" s="91"/>
      <c r="L831" s="91"/>
      <c r="M831" s="91"/>
      <c r="N831" s="91"/>
      <c r="O831" s="91"/>
      <c r="P831" s="91"/>
      <c r="Q831" s="91"/>
      <c r="R831" s="91"/>
      <c r="S831" s="91"/>
      <c r="T831" s="91"/>
      <c r="U831" s="91"/>
      <c r="V831" s="91"/>
    </row>
    <row r="832" spans="1:22" ht="12" hidden="1" customHeight="1">
      <c r="A832" s="91"/>
      <c r="B832" s="91"/>
      <c r="C832" s="91"/>
      <c r="D832" s="91"/>
      <c r="E832" s="91"/>
      <c r="F832" s="92"/>
      <c r="G832" s="92"/>
      <c r="H832" s="92"/>
      <c r="I832" s="92"/>
      <c r="J832" s="91"/>
      <c r="K832" s="91"/>
      <c r="L832" s="91"/>
      <c r="M832" s="91"/>
      <c r="N832" s="91"/>
      <c r="O832" s="91"/>
      <c r="P832" s="91"/>
      <c r="Q832" s="91"/>
      <c r="R832" s="91"/>
      <c r="S832" s="91"/>
      <c r="T832" s="91"/>
      <c r="U832" s="91"/>
      <c r="V832" s="91"/>
    </row>
    <row r="833" spans="1:22" ht="12" hidden="1" customHeight="1">
      <c r="A833" s="91"/>
      <c r="B833" s="91"/>
      <c r="C833" s="91"/>
      <c r="D833" s="91"/>
      <c r="E833" s="91"/>
      <c r="F833" s="92"/>
      <c r="G833" s="92"/>
      <c r="H833" s="92"/>
      <c r="I833" s="92"/>
      <c r="J833" s="91"/>
      <c r="K833" s="91"/>
      <c r="L833" s="91"/>
      <c r="M833" s="91"/>
      <c r="N833" s="91"/>
      <c r="O833" s="91"/>
      <c r="P833" s="91"/>
      <c r="Q833" s="91"/>
      <c r="R833" s="91"/>
      <c r="S833" s="91"/>
      <c r="T833" s="91"/>
      <c r="U833" s="91"/>
      <c r="V833" s="91"/>
    </row>
    <row r="834" spans="1:22" ht="12" hidden="1" customHeight="1">
      <c r="A834" s="91"/>
      <c r="B834" s="91"/>
      <c r="C834" s="91"/>
      <c r="D834" s="91"/>
      <c r="E834" s="91"/>
      <c r="F834" s="92"/>
      <c r="G834" s="92"/>
      <c r="H834" s="92"/>
      <c r="I834" s="92"/>
      <c r="J834" s="91"/>
      <c r="K834" s="91"/>
      <c r="L834" s="91"/>
      <c r="M834" s="91"/>
      <c r="N834" s="91"/>
      <c r="O834" s="91"/>
      <c r="P834" s="91"/>
      <c r="Q834" s="91"/>
      <c r="R834" s="91"/>
      <c r="S834" s="91"/>
      <c r="T834" s="91"/>
      <c r="U834" s="91"/>
      <c r="V834" s="91"/>
    </row>
    <row r="835" spans="1:22" ht="12" hidden="1" customHeight="1">
      <c r="A835" s="91"/>
      <c r="B835" s="91"/>
      <c r="C835" s="91"/>
      <c r="D835" s="91"/>
      <c r="E835" s="91"/>
      <c r="F835" s="92"/>
      <c r="G835" s="92"/>
      <c r="H835" s="92"/>
      <c r="I835" s="92"/>
      <c r="J835" s="91"/>
      <c r="K835" s="91"/>
      <c r="L835" s="91"/>
      <c r="M835" s="91"/>
      <c r="N835" s="91"/>
      <c r="O835" s="91"/>
      <c r="P835" s="91"/>
      <c r="Q835" s="91"/>
      <c r="R835" s="91"/>
      <c r="S835" s="91"/>
      <c r="T835" s="91"/>
      <c r="U835" s="91"/>
      <c r="V835" s="91"/>
    </row>
    <row r="836" spans="1:22" ht="12" hidden="1" customHeight="1">
      <c r="A836" s="91"/>
      <c r="B836" s="91"/>
      <c r="C836" s="91"/>
      <c r="D836" s="91"/>
      <c r="E836" s="91"/>
      <c r="F836" s="92"/>
      <c r="G836" s="92"/>
      <c r="H836" s="92"/>
      <c r="I836" s="92"/>
      <c r="J836" s="91"/>
      <c r="K836" s="91"/>
      <c r="L836" s="91"/>
      <c r="M836" s="91"/>
      <c r="N836" s="91"/>
      <c r="O836" s="91"/>
      <c r="P836" s="91"/>
      <c r="Q836" s="91"/>
      <c r="R836" s="91"/>
      <c r="S836" s="91"/>
      <c r="T836" s="91"/>
      <c r="U836" s="91"/>
      <c r="V836" s="91"/>
    </row>
    <row r="837" spans="1:22" ht="12" hidden="1" customHeight="1">
      <c r="A837" s="91"/>
      <c r="B837" s="91"/>
      <c r="C837" s="91"/>
      <c r="D837" s="91"/>
      <c r="E837" s="91"/>
      <c r="F837" s="92"/>
      <c r="G837" s="92"/>
      <c r="H837" s="92"/>
      <c r="I837" s="92"/>
      <c r="J837" s="91"/>
      <c r="K837" s="91"/>
      <c r="L837" s="91"/>
      <c r="M837" s="91"/>
      <c r="N837" s="91"/>
      <c r="O837" s="91"/>
      <c r="P837" s="91"/>
      <c r="Q837" s="91"/>
      <c r="R837" s="91"/>
      <c r="S837" s="91"/>
      <c r="T837" s="91"/>
      <c r="U837" s="91"/>
      <c r="V837" s="91"/>
    </row>
    <row r="838" spans="1:22" ht="12" hidden="1" customHeight="1">
      <c r="A838" s="91"/>
      <c r="B838" s="91"/>
      <c r="C838" s="91"/>
      <c r="D838" s="91"/>
      <c r="E838" s="91"/>
      <c r="F838" s="92"/>
      <c r="G838" s="92"/>
      <c r="H838" s="92"/>
      <c r="I838" s="92"/>
      <c r="J838" s="91"/>
      <c r="K838" s="91"/>
      <c r="L838" s="91"/>
      <c r="M838" s="91"/>
      <c r="N838" s="91"/>
      <c r="O838" s="91"/>
      <c r="P838" s="91"/>
      <c r="Q838" s="91"/>
      <c r="R838" s="91"/>
      <c r="S838" s="91"/>
      <c r="T838" s="91"/>
      <c r="U838" s="91"/>
      <c r="V838" s="91"/>
    </row>
    <row r="839" spans="1:22" ht="12" hidden="1" customHeight="1">
      <c r="A839" s="91"/>
      <c r="B839" s="91"/>
      <c r="C839" s="91"/>
      <c r="D839" s="91"/>
      <c r="E839" s="91"/>
      <c r="F839" s="92"/>
      <c r="G839" s="92"/>
      <c r="H839" s="92"/>
      <c r="I839" s="92"/>
      <c r="J839" s="91"/>
      <c r="K839" s="91"/>
      <c r="L839" s="91"/>
      <c r="M839" s="91"/>
      <c r="N839" s="91"/>
      <c r="O839" s="91"/>
      <c r="P839" s="91"/>
      <c r="Q839" s="91"/>
      <c r="R839" s="91"/>
      <c r="S839" s="91"/>
      <c r="T839" s="91"/>
      <c r="U839" s="91"/>
      <c r="V839" s="91"/>
    </row>
    <row r="840" spans="1:22" ht="12" hidden="1" customHeight="1">
      <c r="A840" s="91"/>
      <c r="B840" s="91"/>
      <c r="C840" s="91"/>
      <c r="D840" s="91"/>
      <c r="E840" s="91"/>
      <c r="F840" s="92"/>
      <c r="G840" s="92"/>
      <c r="H840" s="92"/>
      <c r="I840" s="92"/>
      <c r="J840" s="91"/>
      <c r="K840" s="91"/>
      <c r="L840" s="91"/>
      <c r="M840" s="91"/>
      <c r="N840" s="91"/>
      <c r="O840" s="91"/>
      <c r="P840" s="91"/>
      <c r="Q840" s="91"/>
      <c r="R840" s="91"/>
      <c r="S840" s="91"/>
      <c r="T840" s="91"/>
      <c r="U840" s="91"/>
      <c r="V840" s="91"/>
    </row>
    <row r="841" spans="1:22" ht="12" hidden="1" customHeight="1">
      <c r="A841" s="91"/>
      <c r="B841" s="91"/>
      <c r="C841" s="91"/>
      <c r="D841" s="91"/>
      <c r="E841" s="91"/>
      <c r="F841" s="92"/>
      <c r="G841" s="92"/>
      <c r="H841" s="92"/>
      <c r="I841" s="92"/>
      <c r="J841" s="91"/>
      <c r="K841" s="91"/>
      <c r="L841" s="91"/>
      <c r="M841" s="91"/>
      <c r="N841" s="91"/>
      <c r="O841" s="91"/>
      <c r="P841" s="91"/>
      <c r="Q841" s="91"/>
      <c r="R841" s="91"/>
      <c r="S841" s="91"/>
      <c r="T841" s="91"/>
      <c r="U841" s="91"/>
      <c r="V841" s="91"/>
    </row>
    <row r="842" spans="1:22" ht="12" hidden="1" customHeight="1">
      <c r="A842" s="91"/>
      <c r="B842" s="91"/>
      <c r="C842" s="91"/>
      <c r="D842" s="91"/>
      <c r="E842" s="91"/>
      <c r="F842" s="92"/>
      <c r="G842" s="92"/>
      <c r="H842" s="92"/>
      <c r="I842" s="92"/>
      <c r="J842" s="91"/>
      <c r="K842" s="91"/>
      <c r="L842" s="91"/>
      <c r="M842" s="91"/>
      <c r="N842" s="91"/>
      <c r="O842" s="91"/>
      <c r="P842" s="91"/>
      <c r="Q842" s="91"/>
      <c r="R842" s="91"/>
      <c r="S842" s="91"/>
      <c r="T842" s="91"/>
      <c r="U842" s="91"/>
      <c r="V842" s="91"/>
    </row>
    <row r="843" spans="1:22" ht="12" hidden="1" customHeight="1">
      <c r="A843" s="91"/>
      <c r="B843" s="91"/>
      <c r="C843" s="91"/>
      <c r="D843" s="91"/>
      <c r="E843" s="91"/>
      <c r="F843" s="92"/>
      <c r="G843" s="92"/>
      <c r="H843" s="92"/>
      <c r="I843" s="92"/>
      <c r="J843" s="91"/>
      <c r="K843" s="91"/>
      <c r="L843" s="91"/>
      <c r="M843" s="91"/>
      <c r="N843" s="91"/>
      <c r="O843" s="91"/>
      <c r="P843" s="91"/>
      <c r="Q843" s="91"/>
      <c r="R843" s="91"/>
      <c r="S843" s="91"/>
      <c r="T843" s="91"/>
      <c r="U843" s="91"/>
      <c r="V843" s="91"/>
    </row>
    <row r="844" spans="1:22" ht="12" hidden="1" customHeight="1">
      <c r="A844" s="91"/>
      <c r="B844" s="91"/>
      <c r="C844" s="91"/>
      <c r="D844" s="91"/>
      <c r="E844" s="91"/>
      <c r="F844" s="92"/>
      <c r="G844" s="92"/>
      <c r="H844" s="92"/>
      <c r="I844" s="92"/>
      <c r="J844" s="91"/>
      <c r="K844" s="91"/>
      <c r="L844" s="91"/>
      <c r="M844" s="91"/>
      <c r="N844" s="91"/>
      <c r="O844" s="91"/>
      <c r="P844" s="91"/>
      <c r="Q844" s="91"/>
      <c r="R844" s="91"/>
      <c r="S844" s="91"/>
      <c r="T844" s="91"/>
      <c r="U844" s="91"/>
      <c r="V844" s="91"/>
    </row>
    <row r="845" spans="1:22" ht="12" hidden="1" customHeight="1">
      <c r="A845" s="91"/>
      <c r="B845" s="91"/>
      <c r="C845" s="91"/>
      <c r="D845" s="91"/>
      <c r="E845" s="91"/>
      <c r="F845" s="92"/>
      <c r="G845" s="92"/>
      <c r="H845" s="92"/>
      <c r="I845" s="92"/>
      <c r="J845" s="91"/>
      <c r="K845" s="91"/>
      <c r="L845" s="91"/>
      <c r="M845" s="91"/>
      <c r="N845" s="91"/>
      <c r="O845" s="91"/>
      <c r="P845" s="91"/>
      <c r="Q845" s="91"/>
      <c r="R845" s="91"/>
      <c r="S845" s="91"/>
      <c r="T845" s="91"/>
      <c r="U845" s="91"/>
      <c r="V845" s="91"/>
    </row>
    <row r="846" spans="1:22" ht="12" hidden="1" customHeight="1">
      <c r="A846" s="91"/>
      <c r="B846" s="91"/>
      <c r="C846" s="91"/>
      <c r="D846" s="91"/>
      <c r="E846" s="91"/>
      <c r="F846" s="92"/>
      <c r="G846" s="92"/>
      <c r="H846" s="92"/>
      <c r="I846" s="92"/>
      <c r="J846" s="91"/>
      <c r="K846" s="91"/>
      <c r="L846" s="91"/>
      <c r="M846" s="91"/>
      <c r="N846" s="91"/>
      <c r="O846" s="91"/>
      <c r="P846" s="91"/>
      <c r="Q846" s="91"/>
      <c r="R846" s="91"/>
      <c r="S846" s="91"/>
      <c r="T846" s="91"/>
      <c r="U846" s="91"/>
      <c r="V846" s="91"/>
    </row>
    <row r="847" spans="1:22" ht="12" hidden="1" customHeight="1">
      <c r="A847" s="91"/>
      <c r="B847" s="91"/>
      <c r="C847" s="91"/>
      <c r="D847" s="91"/>
      <c r="E847" s="91"/>
      <c r="F847" s="92"/>
      <c r="G847" s="92"/>
      <c r="H847" s="92"/>
      <c r="I847" s="92"/>
      <c r="J847" s="91"/>
      <c r="K847" s="91"/>
      <c r="L847" s="91"/>
      <c r="M847" s="91"/>
      <c r="N847" s="91"/>
      <c r="O847" s="91"/>
      <c r="P847" s="91"/>
      <c r="Q847" s="91"/>
      <c r="R847" s="91"/>
      <c r="S847" s="91"/>
      <c r="T847" s="91"/>
      <c r="U847" s="91"/>
      <c r="V847" s="91"/>
    </row>
    <row r="848" spans="1:22" ht="12" hidden="1" customHeight="1">
      <c r="A848" s="91"/>
      <c r="B848" s="91"/>
      <c r="C848" s="91"/>
      <c r="D848" s="91"/>
      <c r="E848" s="91"/>
      <c r="F848" s="92"/>
      <c r="G848" s="92"/>
      <c r="H848" s="92"/>
      <c r="I848" s="92"/>
      <c r="J848" s="91"/>
      <c r="K848" s="91"/>
      <c r="L848" s="91"/>
      <c r="M848" s="91"/>
      <c r="N848" s="91"/>
      <c r="O848" s="91"/>
      <c r="P848" s="91"/>
      <c r="Q848" s="91"/>
      <c r="R848" s="91"/>
      <c r="S848" s="91"/>
      <c r="T848" s="91"/>
      <c r="U848" s="91"/>
      <c r="V848" s="91"/>
    </row>
    <row r="849" spans="1:22" ht="12" hidden="1" customHeight="1">
      <c r="A849" s="91"/>
      <c r="B849" s="91"/>
      <c r="C849" s="91"/>
      <c r="D849" s="91"/>
      <c r="E849" s="91"/>
      <c r="F849" s="92"/>
      <c r="G849" s="92"/>
      <c r="H849" s="92"/>
      <c r="I849" s="92"/>
      <c r="J849" s="91"/>
      <c r="K849" s="91"/>
      <c r="L849" s="91"/>
      <c r="M849" s="91"/>
      <c r="N849" s="91"/>
      <c r="O849" s="91"/>
      <c r="P849" s="91"/>
      <c r="Q849" s="91"/>
      <c r="R849" s="91"/>
      <c r="S849" s="91"/>
      <c r="T849" s="91"/>
      <c r="U849" s="91"/>
      <c r="V849" s="91"/>
    </row>
    <row r="850" spans="1:22" ht="12" hidden="1" customHeight="1">
      <c r="A850" s="91"/>
      <c r="B850" s="91"/>
      <c r="C850" s="91"/>
      <c r="D850" s="91"/>
      <c r="E850" s="91"/>
      <c r="F850" s="92"/>
      <c r="G850" s="92"/>
      <c r="H850" s="92"/>
      <c r="I850" s="92"/>
      <c r="J850" s="91"/>
      <c r="K850" s="91"/>
      <c r="L850" s="91"/>
      <c r="M850" s="91"/>
      <c r="N850" s="91"/>
      <c r="O850" s="91"/>
      <c r="P850" s="91"/>
      <c r="Q850" s="91"/>
      <c r="R850" s="91"/>
      <c r="S850" s="91"/>
      <c r="T850" s="91"/>
      <c r="U850" s="91"/>
      <c r="V850" s="91"/>
    </row>
    <row r="851" spans="1:22" ht="12" hidden="1" customHeight="1">
      <c r="A851" s="91"/>
      <c r="B851" s="91"/>
      <c r="C851" s="91"/>
      <c r="D851" s="91"/>
      <c r="E851" s="91"/>
      <c r="F851" s="92"/>
      <c r="G851" s="92"/>
      <c r="H851" s="92"/>
      <c r="I851" s="92"/>
      <c r="J851" s="91"/>
      <c r="K851" s="91"/>
      <c r="L851" s="91"/>
      <c r="M851" s="91"/>
      <c r="N851" s="91"/>
      <c r="O851" s="91"/>
      <c r="P851" s="91"/>
      <c r="Q851" s="91"/>
      <c r="R851" s="91"/>
      <c r="S851" s="91"/>
      <c r="T851" s="91"/>
      <c r="U851" s="91"/>
      <c r="V851" s="91"/>
    </row>
    <row r="852" spans="1:22" ht="12" hidden="1" customHeight="1">
      <c r="A852" s="91"/>
      <c r="B852" s="91"/>
      <c r="C852" s="91"/>
      <c r="D852" s="91"/>
      <c r="E852" s="91"/>
      <c r="F852" s="92"/>
      <c r="G852" s="92"/>
      <c r="H852" s="92"/>
      <c r="I852" s="92"/>
      <c r="J852" s="91"/>
      <c r="K852" s="91"/>
      <c r="L852" s="91"/>
      <c r="M852" s="91"/>
      <c r="N852" s="91"/>
      <c r="O852" s="91"/>
      <c r="P852" s="91"/>
      <c r="Q852" s="91"/>
      <c r="R852" s="91"/>
      <c r="S852" s="91"/>
      <c r="T852" s="91"/>
      <c r="U852" s="91"/>
      <c r="V852" s="91"/>
    </row>
    <row r="853" spans="1:22" ht="12" hidden="1" customHeight="1">
      <c r="A853" s="91"/>
      <c r="B853" s="91"/>
      <c r="C853" s="91"/>
      <c r="D853" s="91"/>
      <c r="E853" s="91"/>
      <c r="F853" s="92"/>
      <c r="G853" s="92"/>
      <c r="H853" s="92"/>
      <c r="I853" s="92"/>
      <c r="J853" s="91"/>
      <c r="K853" s="91"/>
      <c r="L853" s="91"/>
      <c r="M853" s="91"/>
      <c r="N853" s="91"/>
      <c r="O853" s="91"/>
      <c r="P853" s="91"/>
      <c r="Q853" s="91"/>
      <c r="R853" s="91"/>
      <c r="S853" s="91"/>
      <c r="T853" s="91"/>
      <c r="U853" s="91"/>
      <c r="V853" s="91"/>
    </row>
    <row r="854" spans="1:22" ht="12" hidden="1" customHeight="1">
      <c r="A854" s="91"/>
      <c r="B854" s="91"/>
      <c r="C854" s="91"/>
      <c r="D854" s="91"/>
      <c r="E854" s="91"/>
      <c r="F854" s="92"/>
      <c r="G854" s="92"/>
      <c r="H854" s="92"/>
      <c r="I854" s="92"/>
      <c r="J854" s="91"/>
      <c r="K854" s="91"/>
      <c r="L854" s="91"/>
      <c r="M854" s="91"/>
      <c r="N854" s="91"/>
      <c r="O854" s="91"/>
      <c r="P854" s="91"/>
      <c r="Q854" s="91"/>
      <c r="R854" s="91"/>
      <c r="S854" s="91"/>
      <c r="T854" s="91"/>
      <c r="U854" s="91"/>
      <c r="V854" s="91"/>
    </row>
    <row r="855" spans="1:22" ht="12" hidden="1" customHeight="1">
      <c r="A855" s="91"/>
      <c r="B855" s="91"/>
      <c r="C855" s="91"/>
      <c r="D855" s="91"/>
      <c r="E855" s="91"/>
      <c r="F855" s="92"/>
      <c r="G855" s="92"/>
      <c r="H855" s="92"/>
      <c r="I855" s="92"/>
      <c r="J855" s="91"/>
      <c r="K855" s="91"/>
      <c r="L855" s="91"/>
      <c r="M855" s="91"/>
      <c r="N855" s="91"/>
      <c r="O855" s="91"/>
      <c r="P855" s="91"/>
      <c r="Q855" s="91"/>
      <c r="R855" s="91"/>
      <c r="S855" s="91"/>
      <c r="T855" s="91"/>
      <c r="U855" s="91"/>
      <c r="V855" s="91"/>
    </row>
    <row r="856" spans="1:22" ht="12" hidden="1" customHeight="1">
      <c r="A856" s="91"/>
      <c r="B856" s="91"/>
      <c r="C856" s="91"/>
      <c r="D856" s="91"/>
      <c r="E856" s="91"/>
      <c r="F856" s="92"/>
      <c r="G856" s="92"/>
      <c r="H856" s="92"/>
      <c r="I856" s="92"/>
      <c r="J856" s="91"/>
      <c r="K856" s="91"/>
      <c r="L856" s="91"/>
      <c r="M856" s="91"/>
      <c r="N856" s="91"/>
      <c r="O856" s="91"/>
      <c r="P856" s="91"/>
      <c r="Q856" s="91"/>
      <c r="R856" s="91"/>
      <c r="S856" s="91"/>
      <c r="T856" s="91"/>
      <c r="U856" s="91"/>
      <c r="V856" s="91"/>
    </row>
    <row r="857" spans="1:22" ht="12" hidden="1" customHeight="1">
      <c r="A857" s="91"/>
      <c r="B857" s="91"/>
      <c r="C857" s="91"/>
      <c r="D857" s="91"/>
      <c r="E857" s="91"/>
      <c r="F857" s="92"/>
      <c r="G857" s="92"/>
      <c r="H857" s="92"/>
      <c r="I857" s="92"/>
      <c r="J857" s="91"/>
      <c r="K857" s="91"/>
      <c r="L857" s="91"/>
      <c r="M857" s="91"/>
      <c r="N857" s="91"/>
      <c r="O857" s="91"/>
      <c r="P857" s="91"/>
      <c r="Q857" s="91"/>
      <c r="R857" s="91"/>
      <c r="S857" s="91"/>
      <c r="T857" s="91"/>
      <c r="U857" s="91"/>
      <c r="V857" s="91"/>
    </row>
    <row r="858" spans="1:22" ht="12" hidden="1" customHeight="1">
      <c r="A858" s="91"/>
      <c r="B858" s="91"/>
      <c r="C858" s="91"/>
      <c r="D858" s="91"/>
      <c r="E858" s="91"/>
      <c r="F858" s="92"/>
      <c r="G858" s="92"/>
      <c r="H858" s="92"/>
      <c r="I858" s="92"/>
      <c r="J858" s="91"/>
      <c r="K858" s="91"/>
      <c r="L858" s="91"/>
      <c r="M858" s="91"/>
      <c r="N858" s="91"/>
      <c r="O858" s="91"/>
      <c r="P858" s="91"/>
      <c r="Q858" s="91"/>
      <c r="R858" s="91"/>
      <c r="S858" s="91"/>
      <c r="T858" s="91"/>
      <c r="U858" s="91"/>
      <c r="V858" s="91"/>
    </row>
    <row r="859" spans="1:22" ht="12" hidden="1" customHeight="1">
      <c r="A859" s="91"/>
      <c r="B859" s="91"/>
      <c r="C859" s="91"/>
      <c r="D859" s="91"/>
      <c r="E859" s="91"/>
      <c r="F859" s="92"/>
      <c r="G859" s="92"/>
      <c r="H859" s="92"/>
      <c r="I859" s="92"/>
      <c r="J859" s="91"/>
      <c r="K859" s="91"/>
      <c r="L859" s="91"/>
      <c r="M859" s="91"/>
      <c r="N859" s="91"/>
      <c r="O859" s="91"/>
      <c r="P859" s="91"/>
      <c r="Q859" s="91"/>
      <c r="R859" s="91"/>
      <c r="S859" s="91"/>
      <c r="T859" s="91"/>
      <c r="U859" s="91"/>
      <c r="V859" s="91"/>
    </row>
    <row r="860" spans="1:22" ht="12" hidden="1" customHeight="1">
      <c r="A860" s="91"/>
      <c r="B860" s="91"/>
      <c r="C860" s="91"/>
      <c r="D860" s="91"/>
      <c r="E860" s="91"/>
      <c r="F860" s="92"/>
      <c r="G860" s="92"/>
      <c r="H860" s="92"/>
      <c r="I860" s="92"/>
      <c r="J860" s="91"/>
      <c r="K860" s="91"/>
      <c r="L860" s="91"/>
      <c r="M860" s="91"/>
      <c r="N860" s="91"/>
      <c r="O860" s="91"/>
      <c r="P860" s="91"/>
      <c r="Q860" s="91"/>
      <c r="R860" s="91"/>
      <c r="S860" s="91"/>
      <c r="T860" s="91"/>
      <c r="U860" s="91"/>
      <c r="V860" s="91"/>
    </row>
    <row r="861" spans="1:22" ht="12" hidden="1" customHeight="1">
      <c r="A861" s="91"/>
      <c r="B861" s="91"/>
      <c r="C861" s="91"/>
      <c r="D861" s="91"/>
      <c r="E861" s="91"/>
      <c r="F861" s="92"/>
      <c r="G861" s="92"/>
      <c r="H861" s="92"/>
      <c r="I861" s="92"/>
      <c r="J861" s="91"/>
      <c r="K861" s="91"/>
      <c r="L861" s="91"/>
      <c r="M861" s="91"/>
      <c r="N861" s="91"/>
      <c r="O861" s="91"/>
      <c r="P861" s="91"/>
      <c r="Q861" s="91"/>
      <c r="R861" s="91"/>
      <c r="S861" s="91"/>
      <c r="T861" s="91"/>
      <c r="U861" s="91"/>
      <c r="V861" s="91"/>
    </row>
    <row r="862" spans="1:22" ht="12" hidden="1" customHeight="1">
      <c r="A862" s="91"/>
      <c r="B862" s="91"/>
      <c r="C862" s="91"/>
      <c r="D862" s="91"/>
      <c r="E862" s="91"/>
      <c r="F862" s="92"/>
      <c r="G862" s="92"/>
      <c r="H862" s="92"/>
      <c r="I862" s="92"/>
      <c r="J862" s="91"/>
      <c r="K862" s="91"/>
      <c r="L862" s="91"/>
      <c r="M862" s="91"/>
      <c r="N862" s="91"/>
      <c r="O862" s="91"/>
      <c r="P862" s="91"/>
      <c r="Q862" s="91"/>
      <c r="R862" s="91"/>
      <c r="S862" s="91"/>
      <c r="T862" s="91"/>
      <c r="U862" s="91"/>
      <c r="V862" s="91"/>
    </row>
    <row r="863" spans="1:22" ht="12" hidden="1" customHeight="1">
      <c r="A863" s="91"/>
      <c r="B863" s="91"/>
      <c r="C863" s="91"/>
      <c r="D863" s="91"/>
      <c r="E863" s="91"/>
      <c r="F863" s="92"/>
      <c r="G863" s="92"/>
      <c r="H863" s="92"/>
      <c r="I863" s="92"/>
      <c r="J863" s="91"/>
      <c r="K863" s="91"/>
      <c r="L863" s="91"/>
      <c r="M863" s="91"/>
      <c r="N863" s="91"/>
      <c r="O863" s="91"/>
      <c r="P863" s="91"/>
      <c r="Q863" s="91"/>
      <c r="R863" s="91"/>
      <c r="S863" s="91"/>
      <c r="T863" s="91"/>
      <c r="U863" s="91"/>
      <c r="V863" s="91"/>
    </row>
    <row r="864" spans="1:22" ht="12" hidden="1" customHeight="1">
      <c r="A864" s="91"/>
      <c r="B864" s="91"/>
      <c r="C864" s="91"/>
      <c r="D864" s="91"/>
      <c r="E864" s="91"/>
      <c r="F864" s="92"/>
      <c r="G864" s="92"/>
      <c r="H864" s="92"/>
      <c r="I864" s="92"/>
      <c r="J864" s="91"/>
      <c r="K864" s="91"/>
      <c r="L864" s="91"/>
      <c r="M864" s="91"/>
      <c r="N864" s="91"/>
      <c r="O864" s="91"/>
      <c r="P864" s="91"/>
      <c r="Q864" s="91"/>
      <c r="R864" s="91"/>
      <c r="S864" s="91"/>
      <c r="T864" s="91"/>
      <c r="U864" s="91"/>
      <c r="V864" s="91"/>
    </row>
    <row r="865" spans="1:22" ht="12" hidden="1" customHeight="1">
      <c r="A865" s="91"/>
      <c r="B865" s="91"/>
      <c r="C865" s="91"/>
      <c r="D865" s="91"/>
      <c r="E865" s="91"/>
      <c r="F865" s="92"/>
      <c r="G865" s="92"/>
      <c r="H865" s="92"/>
      <c r="I865" s="92"/>
      <c r="J865" s="91"/>
      <c r="K865" s="91"/>
      <c r="L865" s="91"/>
      <c r="M865" s="91"/>
      <c r="N865" s="91"/>
      <c r="O865" s="91"/>
      <c r="P865" s="91"/>
      <c r="Q865" s="91"/>
      <c r="R865" s="91"/>
      <c r="S865" s="91"/>
      <c r="T865" s="91"/>
      <c r="U865" s="91"/>
      <c r="V865" s="91"/>
    </row>
    <row r="866" spans="1:22" ht="12" hidden="1" customHeight="1">
      <c r="A866" s="91"/>
      <c r="B866" s="91"/>
      <c r="C866" s="91"/>
      <c r="D866" s="91"/>
      <c r="E866" s="91"/>
      <c r="F866" s="92"/>
      <c r="G866" s="92"/>
      <c r="H866" s="92"/>
      <c r="I866" s="92"/>
      <c r="J866" s="91"/>
      <c r="K866" s="91"/>
      <c r="L866" s="91"/>
      <c r="M866" s="91"/>
      <c r="N866" s="91"/>
      <c r="O866" s="91"/>
      <c r="P866" s="91"/>
      <c r="Q866" s="91"/>
      <c r="R866" s="91"/>
      <c r="S866" s="91"/>
      <c r="T866" s="91"/>
      <c r="U866" s="91"/>
      <c r="V866" s="91"/>
    </row>
    <row r="867" spans="1:22" ht="12" hidden="1" customHeight="1">
      <c r="A867" s="91"/>
      <c r="B867" s="91"/>
      <c r="C867" s="91"/>
      <c r="D867" s="91"/>
      <c r="E867" s="91"/>
      <c r="F867" s="92"/>
      <c r="G867" s="92"/>
      <c r="H867" s="92"/>
      <c r="I867" s="92"/>
      <c r="J867" s="91"/>
      <c r="K867" s="91"/>
      <c r="L867" s="91"/>
      <c r="M867" s="91"/>
      <c r="N867" s="91"/>
      <c r="O867" s="91"/>
      <c r="P867" s="91"/>
      <c r="Q867" s="91"/>
      <c r="R867" s="91"/>
      <c r="S867" s="91"/>
      <c r="T867" s="91"/>
      <c r="U867" s="91"/>
      <c r="V867" s="91"/>
    </row>
    <row r="868" spans="1:22" ht="12" hidden="1" customHeight="1">
      <c r="A868" s="91"/>
      <c r="B868" s="91"/>
      <c r="C868" s="91"/>
      <c r="D868" s="91"/>
      <c r="E868" s="91"/>
      <c r="F868" s="92"/>
      <c r="G868" s="92"/>
      <c r="H868" s="92"/>
      <c r="I868" s="92"/>
      <c r="J868" s="91"/>
      <c r="K868" s="91"/>
      <c r="L868" s="91"/>
      <c r="M868" s="91"/>
      <c r="N868" s="91"/>
      <c r="O868" s="91"/>
      <c r="P868" s="91"/>
      <c r="Q868" s="91"/>
      <c r="R868" s="91"/>
      <c r="S868" s="91"/>
      <c r="T868" s="91"/>
      <c r="U868" s="91"/>
      <c r="V868" s="91"/>
    </row>
    <row r="869" spans="1:22" ht="12" hidden="1" customHeight="1">
      <c r="A869" s="91"/>
      <c r="B869" s="91"/>
      <c r="C869" s="91"/>
      <c r="D869" s="91"/>
      <c r="E869" s="91"/>
      <c r="F869" s="92"/>
      <c r="G869" s="92"/>
      <c r="H869" s="92"/>
      <c r="I869" s="92"/>
      <c r="J869" s="91"/>
      <c r="K869" s="91"/>
      <c r="L869" s="91"/>
      <c r="M869" s="91"/>
      <c r="N869" s="91"/>
      <c r="O869" s="91"/>
      <c r="P869" s="91"/>
      <c r="Q869" s="91"/>
      <c r="R869" s="91"/>
      <c r="S869" s="91"/>
      <c r="T869" s="91"/>
      <c r="U869" s="91"/>
      <c r="V869" s="91"/>
    </row>
    <row r="870" spans="1:22" ht="12" hidden="1" customHeight="1">
      <c r="A870" s="91"/>
      <c r="B870" s="91"/>
      <c r="C870" s="91"/>
      <c r="D870" s="91"/>
      <c r="E870" s="91"/>
      <c r="F870" s="92"/>
      <c r="G870" s="92"/>
      <c r="H870" s="92"/>
      <c r="I870" s="92"/>
      <c r="J870" s="91"/>
      <c r="K870" s="91"/>
      <c r="L870" s="91"/>
      <c r="M870" s="91"/>
      <c r="N870" s="91"/>
      <c r="O870" s="91"/>
      <c r="P870" s="91"/>
      <c r="Q870" s="91"/>
      <c r="R870" s="91"/>
      <c r="S870" s="91"/>
      <c r="T870" s="91"/>
      <c r="U870" s="91"/>
      <c r="V870" s="91"/>
    </row>
    <row r="871" spans="1:22" ht="12" hidden="1" customHeight="1">
      <c r="A871" s="91"/>
      <c r="B871" s="91"/>
      <c r="C871" s="91"/>
      <c r="D871" s="91"/>
      <c r="E871" s="91"/>
      <c r="F871" s="92"/>
      <c r="G871" s="92"/>
      <c r="H871" s="92"/>
      <c r="I871" s="92"/>
      <c r="J871" s="91"/>
      <c r="K871" s="91"/>
      <c r="L871" s="91"/>
      <c r="M871" s="91"/>
      <c r="N871" s="91"/>
      <c r="O871" s="91"/>
      <c r="P871" s="91"/>
      <c r="Q871" s="91"/>
      <c r="R871" s="91"/>
      <c r="S871" s="91"/>
      <c r="T871" s="91"/>
      <c r="U871" s="91"/>
      <c r="V871" s="91"/>
    </row>
    <row r="872" spans="1:22" ht="12" hidden="1" customHeight="1">
      <c r="A872" s="91"/>
      <c r="B872" s="91"/>
      <c r="C872" s="91"/>
      <c r="D872" s="91"/>
      <c r="E872" s="91"/>
      <c r="F872" s="92"/>
      <c r="G872" s="92"/>
      <c r="H872" s="92"/>
      <c r="I872" s="92"/>
      <c r="J872" s="91"/>
      <c r="K872" s="91"/>
      <c r="L872" s="91"/>
      <c r="M872" s="91"/>
      <c r="N872" s="91"/>
      <c r="O872" s="91"/>
      <c r="P872" s="91"/>
      <c r="Q872" s="91"/>
      <c r="R872" s="91"/>
      <c r="S872" s="91"/>
      <c r="T872" s="91"/>
      <c r="U872" s="91"/>
      <c r="V872" s="91"/>
    </row>
    <row r="873" spans="1:22" ht="12" hidden="1" customHeight="1">
      <c r="A873" s="91"/>
      <c r="B873" s="91"/>
      <c r="C873" s="91"/>
      <c r="D873" s="91"/>
      <c r="E873" s="91"/>
      <c r="F873" s="92"/>
      <c r="G873" s="92"/>
      <c r="H873" s="92"/>
      <c r="I873" s="92"/>
      <c r="J873" s="91"/>
      <c r="K873" s="91"/>
      <c r="L873" s="91"/>
      <c r="M873" s="91"/>
      <c r="N873" s="91"/>
      <c r="O873" s="91"/>
      <c r="P873" s="91"/>
      <c r="Q873" s="91"/>
      <c r="R873" s="91"/>
      <c r="S873" s="91"/>
      <c r="T873" s="91"/>
      <c r="U873" s="91"/>
      <c r="V873" s="91"/>
    </row>
    <row r="874" spans="1:22" ht="12" hidden="1" customHeight="1">
      <c r="A874" s="91"/>
      <c r="B874" s="91"/>
      <c r="C874" s="91"/>
      <c r="D874" s="91"/>
      <c r="E874" s="91"/>
      <c r="F874" s="92"/>
      <c r="G874" s="92"/>
      <c r="H874" s="92"/>
      <c r="I874" s="92"/>
      <c r="J874" s="91"/>
      <c r="K874" s="91"/>
      <c r="L874" s="91"/>
      <c r="M874" s="91"/>
      <c r="N874" s="91"/>
      <c r="O874" s="91"/>
      <c r="P874" s="91"/>
      <c r="Q874" s="91"/>
      <c r="R874" s="91"/>
      <c r="S874" s="91"/>
      <c r="T874" s="91"/>
      <c r="U874" s="91"/>
      <c r="V874" s="91"/>
    </row>
    <row r="875" spans="1:22" ht="12" hidden="1" customHeight="1">
      <c r="A875" s="91"/>
      <c r="B875" s="91"/>
      <c r="C875" s="91"/>
      <c r="D875" s="91"/>
      <c r="E875" s="91"/>
      <c r="F875" s="92"/>
      <c r="G875" s="92"/>
      <c r="H875" s="92"/>
      <c r="I875" s="92"/>
      <c r="J875" s="91"/>
      <c r="K875" s="91"/>
      <c r="L875" s="91"/>
      <c r="M875" s="91"/>
      <c r="N875" s="91"/>
      <c r="O875" s="91"/>
      <c r="P875" s="91"/>
      <c r="Q875" s="91"/>
      <c r="R875" s="91"/>
      <c r="S875" s="91"/>
      <c r="T875" s="91"/>
      <c r="U875" s="91"/>
      <c r="V875" s="91"/>
    </row>
    <row r="876" spans="1:22" ht="12" hidden="1" customHeight="1">
      <c r="A876" s="91"/>
      <c r="B876" s="91"/>
      <c r="C876" s="91"/>
      <c r="D876" s="91"/>
      <c r="E876" s="91"/>
      <c r="F876" s="92"/>
      <c r="G876" s="92"/>
      <c r="H876" s="92"/>
      <c r="I876" s="92"/>
      <c r="J876" s="91"/>
      <c r="K876" s="91"/>
      <c r="L876" s="91"/>
      <c r="M876" s="91"/>
      <c r="N876" s="91"/>
      <c r="O876" s="91"/>
      <c r="P876" s="91"/>
      <c r="Q876" s="91"/>
      <c r="R876" s="91"/>
      <c r="S876" s="91"/>
      <c r="T876" s="91"/>
      <c r="U876" s="91"/>
      <c r="V876" s="91"/>
    </row>
    <row r="877" spans="1:22" ht="12" hidden="1" customHeight="1">
      <c r="A877" s="91"/>
      <c r="B877" s="91"/>
      <c r="C877" s="91"/>
      <c r="D877" s="91"/>
      <c r="E877" s="91"/>
      <c r="F877" s="92"/>
      <c r="G877" s="92"/>
      <c r="H877" s="92"/>
      <c r="I877" s="92"/>
      <c r="J877" s="91"/>
      <c r="K877" s="91"/>
      <c r="L877" s="91"/>
      <c r="M877" s="91"/>
      <c r="N877" s="91"/>
      <c r="O877" s="91"/>
      <c r="P877" s="91"/>
      <c r="Q877" s="91"/>
      <c r="R877" s="91"/>
      <c r="S877" s="91"/>
      <c r="T877" s="91"/>
      <c r="U877" s="91"/>
      <c r="V877" s="91"/>
    </row>
    <row r="878" spans="1:22" ht="12" hidden="1" customHeight="1">
      <c r="A878" s="91"/>
      <c r="B878" s="91"/>
      <c r="C878" s="91"/>
      <c r="D878" s="91"/>
      <c r="E878" s="91"/>
      <c r="F878" s="92"/>
      <c r="G878" s="92"/>
      <c r="H878" s="92"/>
      <c r="I878" s="92"/>
      <c r="J878" s="91"/>
      <c r="K878" s="91"/>
      <c r="L878" s="91"/>
      <c r="M878" s="91"/>
      <c r="N878" s="91"/>
      <c r="O878" s="91"/>
      <c r="P878" s="91"/>
      <c r="Q878" s="91"/>
      <c r="R878" s="91"/>
      <c r="S878" s="91"/>
      <c r="T878" s="91"/>
      <c r="U878" s="91"/>
      <c r="V878" s="91"/>
    </row>
    <row r="879" spans="1:22" ht="12" hidden="1" customHeight="1">
      <c r="A879" s="91"/>
      <c r="B879" s="91"/>
      <c r="C879" s="91"/>
      <c r="D879" s="91"/>
      <c r="E879" s="91"/>
      <c r="F879" s="92"/>
      <c r="G879" s="92"/>
      <c r="H879" s="92"/>
      <c r="I879" s="92"/>
      <c r="J879" s="91"/>
      <c r="K879" s="91"/>
      <c r="L879" s="91"/>
      <c r="M879" s="91"/>
      <c r="N879" s="91"/>
      <c r="O879" s="91"/>
      <c r="P879" s="91"/>
      <c r="Q879" s="91"/>
      <c r="R879" s="91"/>
      <c r="S879" s="91"/>
      <c r="T879" s="91"/>
      <c r="U879" s="91"/>
      <c r="V879" s="91"/>
    </row>
    <row r="880" spans="1:22" ht="12" hidden="1" customHeight="1">
      <c r="A880" s="91"/>
      <c r="B880" s="91"/>
      <c r="C880" s="91"/>
      <c r="D880" s="91"/>
      <c r="E880" s="91"/>
      <c r="F880" s="92"/>
      <c r="G880" s="92"/>
      <c r="H880" s="92"/>
      <c r="I880" s="92"/>
      <c r="J880" s="91"/>
      <c r="K880" s="91"/>
      <c r="L880" s="91"/>
      <c r="M880" s="91"/>
      <c r="N880" s="91"/>
      <c r="O880" s="91"/>
      <c r="P880" s="91"/>
      <c r="Q880" s="91"/>
      <c r="R880" s="91"/>
      <c r="S880" s="91"/>
      <c r="T880" s="91"/>
      <c r="U880" s="91"/>
      <c r="V880" s="91"/>
    </row>
    <row r="881" spans="1:22" ht="12" hidden="1" customHeight="1">
      <c r="A881" s="91"/>
      <c r="B881" s="91"/>
      <c r="C881" s="91"/>
      <c r="D881" s="91"/>
      <c r="E881" s="91"/>
      <c r="F881" s="92"/>
      <c r="G881" s="92"/>
      <c r="H881" s="92"/>
      <c r="I881" s="92"/>
      <c r="J881" s="91"/>
      <c r="K881" s="91"/>
      <c r="L881" s="91"/>
      <c r="M881" s="91"/>
      <c r="N881" s="91"/>
      <c r="O881" s="91"/>
      <c r="P881" s="91"/>
      <c r="Q881" s="91"/>
      <c r="R881" s="91"/>
      <c r="S881" s="91"/>
      <c r="T881" s="91"/>
      <c r="U881" s="91"/>
      <c r="V881" s="91"/>
    </row>
    <row r="882" spans="1:22" ht="12" hidden="1" customHeight="1">
      <c r="A882" s="91"/>
      <c r="B882" s="91"/>
      <c r="C882" s="91"/>
      <c r="D882" s="91"/>
      <c r="E882" s="91"/>
      <c r="F882" s="92"/>
      <c r="G882" s="92"/>
      <c r="H882" s="92"/>
      <c r="I882" s="92"/>
      <c r="J882" s="91"/>
      <c r="K882" s="91"/>
      <c r="L882" s="91"/>
      <c r="M882" s="91"/>
      <c r="N882" s="91"/>
      <c r="O882" s="91"/>
      <c r="P882" s="91"/>
      <c r="Q882" s="91"/>
      <c r="R882" s="91"/>
      <c r="S882" s="91"/>
      <c r="T882" s="91"/>
      <c r="U882" s="91"/>
      <c r="V882" s="91"/>
    </row>
    <row r="883" spans="1:22" ht="12" hidden="1" customHeight="1">
      <c r="A883" s="91"/>
      <c r="B883" s="91"/>
      <c r="C883" s="91"/>
      <c r="D883" s="91"/>
      <c r="E883" s="91"/>
      <c r="F883" s="92"/>
      <c r="G883" s="92"/>
      <c r="H883" s="92"/>
      <c r="I883" s="92"/>
      <c r="J883" s="91"/>
      <c r="K883" s="91"/>
      <c r="L883" s="91"/>
      <c r="M883" s="91"/>
      <c r="N883" s="91"/>
      <c r="O883" s="91"/>
      <c r="P883" s="91"/>
      <c r="Q883" s="91"/>
      <c r="R883" s="91"/>
      <c r="S883" s="91"/>
      <c r="T883" s="91"/>
      <c r="U883" s="91"/>
      <c r="V883" s="91"/>
    </row>
    <row r="884" spans="1:22" ht="12" hidden="1" customHeight="1">
      <c r="A884" s="91"/>
      <c r="B884" s="91"/>
      <c r="C884" s="91"/>
      <c r="D884" s="91"/>
      <c r="E884" s="91"/>
      <c r="F884" s="92"/>
      <c r="G884" s="92"/>
      <c r="H884" s="92"/>
      <c r="I884" s="92"/>
      <c r="J884" s="91"/>
      <c r="K884" s="91"/>
      <c r="L884" s="91"/>
      <c r="M884" s="91"/>
      <c r="N884" s="91"/>
      <c r="O884" s="91"/>
      <c r="P884" s="91"/>
      <c r="Q884" s="91"/>
      <c r="R884" s="91"/>
      <c r="S884" s="91"/>
      <c r="T884" s="91"/>
      <c r="U884" s="91"/>
      <c r="V884" s="91"/>
    </row>
    <row r="885" spans="1:22" ht="12" hidden="1" customHeight="1">
      <c r="A885" s="91"/>
      <c r="B885" s="91"/>
      <c r="C885" s="91"/>
      <c r="D885" s="91"/>
      <c r="E885" s="91"/>
      <c r="F885" s="92"/>
      <c r="G885" s="92"/>
      <c r="H885" s="92"/>
      <c r="I885" s="92"/>
      <c r="J885" s="91"/>
      <c r="K885" s="91"/>
      <c r="L885" s="91"/>
      <c r="M885" s="91"/>
      <c r="N885" s="91"/>
      <c r="O885" s="91"/>
      <c r="P885" s="91"/>
      <c r="Q885" s="91"/>
      <c r="R885" s="91"/>
      <c r="S885" s="91"/>
      <c r="T885" s="91"/>
      <c r="U885" s="91"/>
      <c r="V885" s="91"/>
    </row>
    <row r="886" spans="1:22" ht="12" hidden="1" customHeight="1">
      <c r="A886" s="91"/>
      <c r="B886" s="91"/>
      <c r="C886" s="91"/>
      <c r="D886" s="91"/>
      <c r="E886" s="91"/>
      <c r="F886" s="92"/>
      <c r="G886" s="92"/>
      <c r="H886" s="92"/>
      <c r="I886" s="92"/>
      <c r="J886" s="91"/>
      <c r="K886" s="91"/>
      <c r="L886" s="91"/>
      <c r="M886" s="91"/>
      <c r="N886" s="91"/>
      <c r="O886" s="91"/>
      <c r="P886" s="91"/>
      <c r="Q886" s="91"/>
      <c r="R886" s="91"/>
      <c r="S886" s="91"/>
      <c r="T886" s="91"/>
      <c r="U886" s="91"/>
      <c r="V886" s="91"/>
    </row>
    <row r="887" spans="1:22" ht="12" hidden="1" customHeight="1">
      <c r="A887" s="91"/>
      <c r="B887" s="91"/>
      <c r="C887" s="91"/>
      <c r="D887" s="91"/>
      <c r="E887" s="91"/>
      <c r="F887" s="92"/>
      <c r="G887" s="92"/>
      <c r="H887" s="92"/>
      <c r="I887" s="92"/>
      <c r="J887" s="91"/>
      <c r="K887" s="91"/>
      <c r="L887" s="91"/>
      <c r="M887" s="91"/>
      <c r="N887" s="91"/>
      <c r="O887" s="91"/>
      <c r="P887" s="91"/>
      <c r="Q887" s="91"/>
      <c r="R887" s="91"/>
      <c r="S887" s="91"/>
      <c r="T887" s="91"/>
      <c r="U887" s="91"/>
      <c r="V887" s="91"/>
    </row>
    <row r="888" spans="1:22" ht="12" hidden="1" customHeight="1">
      <c r="A888" s="91"/>
      <c r="B888" s="91"/>
      <c r="C888" s="91"/>
      <c r="D888" s="91"/>
      <c r="E888" s="91"/>
      <c r="F888" s="92"/>
      <c r="G888" s="92"/>
      <c r="H888" s="92"/>
      <c r="I888" s="92"/>
      <c r="J888" s="91"/>
      <c r="K888" s="91"/>
      <c r="L888" s="91"/>
      <c r="M888" s="91"/>
      <c r="N888" s="91"/>
      <c r="O888" s="91"/>
      <c r="P888" s="91"/>
      <c r="Q888" s="91"/>
      <c r="R888" s="91"/>
      <c r="S888" s="91"/>
      <c r="T888" s="91"/>
      <c r="U888" s="91"/>
      <c r="V888" s="91"/>
    </row>
    <row r="889" spans="1:22" ht="12" hidden="1" customHeight="1">
      <c r="A889" s="91"/>
      <c r="B889" s="91"/>
      <c r="C889" s="91"/>
      <c r="D889" s="91"/>
      <c r="E889" s="91"/>
      <c r="F889" s="92"/>
      <c r="G889" s="92"/>
      <c r="H889" s="92"/>
      <c r="I889" s="92"/>
      <c r="J889" s="91"/>
      <c r="K889" s="91"/>
      <c r="L889" s="91"/>
      <c r="M889" s="91"/>
      <c r="N889" s="91"/>
      <c r="O889" s="91"/>
      <c r="P889" s="91"/>
      <c r="Q889" s="91"/>
      <c r="R889" s="91"/>
      <c r="S889" s="91"/>
      <c r="T889" s="91"/>
      <c r="U889" s="91"/>
      <c r="V889" s="91"/>
    </row>
    <row r="890" spans="1:22" ht="12" hidden="1" customHeight="1">
      <c r="A890" s="91"/>
      <c r="B890" s="91"/>
      <c r="C890" s="91"/>
      <c r="D890" s="91"/>
      <c r="E890" s="91"/>
      <c r="F890" s="92"/>
      <c r="G890" s="92"/>
      <c r="H890" s="92"/>
      <c r="I890" s="92"/>
      <c r="J890" s="91"/>
      <c r="K890" s="91"/>
      <c r="L890" s="91"/>
      <c r="M890" s="91"/>
      <c r="N890" s="91"/>
      <c r="O890" s="91"/>
      <c r="P890" s="91"/>
      <c r="Q890" s="91"/>
      <c r="R890" s="91"/>
      <c r="S890" s="91"/>
      <c r="T890" s="91"/>
      <c r="U890" s="91"/>
      <c r="V890" s="91"/>
    </row>
    <row r="891" spans="1:22" ht="12" hidden="1" customHeight="1">
      <c r="A891" s="91"/>
      <c r="B891" s="91"/>
      <c r="C891" s="91"/>
      <c r="D891" s="91"/>
      <c r="E891" s="91"/>
      <c r="F891" s="92"/>
      <c r="G891" s="92"/>
      <c r="H891" s="92"/>
      <c r="I891" s="92"/>
      <c r="J891" s="91"/>
      <c r="K891" s="91"/>
      <c r="L891" s="91"/>
      <c r="M891" s="91"/>
      <c r="N891" s="91"/>
      <c r="O891" s="91"/>
      <c r="P891" s="91"/>
      <c r="Q891" s="91"/>
      <c r="R891" s="91"/>
      <c r="S891" s="91"/>
      <c r="T891" s="91"/>
      <c r="U891" s="91"/>
      <c r="V891" s="91"/>
    </row>
    <row r="892" spans="1:22" ht="12" hidden="1" customHeight="1">
      <c r="A892" s="91"/>
      <c r="B892" s="91"/>
      <c r="C892" s="91"/>
      <c r="D892" s="91"/>
      <c r="E892" s="91"/>
      <c r="F892" s="92"/>
      <c r="G892" s="92"/>
      <c r="H892" s="92"/>
      <c r="I892" s="92"/>
      <c r="J892" s="91"/>
      <c r="K892" s="91"/>
      <c r="L892" s="91"/>
      <c r="M892" s="91"/>
      <c r="N892" s="91"/>
      <c r="O892" s="91"/>
      <c r="P892" s="91"/>
      <c r="Q892" s="91"/>
      <c r="R892" s="91"/>
      <c r="S892" s="91"/>
      <c r="T892" s="91"/>
      <c r="U892" s="91"/>
      <c r="V892" s="91"/>
    </row>
    <row r="893" spans="1:22" ht="12" hidden="1" customHeight="1">
      <c r="A893" s="91"/>
      <c r="B893" s="91"/>
      <c r="C893" s="91"/>
      <c r="D893" s="91"/>
      <c r="E893" s="91"/>
      <c r="F893" s="92"/>
      <c r="G893" s="92"/>
      <c r="H893" s="92"/>
      <c r="I893" s="92"/>
      <c r="J893" s="91"/>
      <c r="K893" s="91"/>
      <c r="L893" s="91"/>
      <c r="M893" s="91"/>
      <c r="N893" s="91"/>
      <c r="O893" s="91"/>
      <c r="P893" s="91"/>
      <c r="Q893" s="91"/>
      <c r="R893" s="91"/>
      <c r="S893" s="91"/>
      <c r="T893" s="91"/>
      <c r="U893" s="91"/>
      <c r="V893" s="91"/>
    </row>
    <row r="894" spans="1:22" ht="12" hidden="1" customHeight="1">
      <c r="A894" s="91"/>
      <c r="B894" s="91"/>
      <c r="C894" s="91"/>
      <c r="D894" s="91"/>
      <c r="E894" s="91"/>
      <c r="F894" s="92"/>
      <c r="G894" s="92"/>
      <c r="H894" s="92"/>
      <c r="I894" s="92"/>
      <c r="J894" s="91"/>
      <c r="K894" s="91"/>
      <c r="L894" s="91"/>
      <c r="M894" s="91"/>
      <c r="N894" s="91"/>
      <c r="O894" s="91"/>
      <c r="P894" s="91"/>
      <c r="Q894" s="91"/>
      <c r="R894" s="91"/>
      <c r="S894" s="91"/>
      <c r="T894" s="91"/>
      <c r="U894" s="91"/>
      <c r="V894" s="91"/>
    </row>
    <row r="895" spans="1:22" ht="12" hidden="1" customHeight="1">
      <c r="A895" s="91"/>
      <c r="B895" s="91"/>
      <c r="C895" s="91"/>
      <c r="D895" s="91"/>
      <c r="E895" s="91"/>
      <c r="F895" s="92"/>
      <c r="G895" s="92"/>
      <c r="H895" s="92"/>
      <c r="I895" s="92"/>
      <c r="J895" s="91"/>
      <c r="K895" s="91"/>
      <c r="L895" s="91"/>
      <c r="M895" s="91"/>
      <c r="N895" s="91"/>
      <c r="O895" s="91"/>
      <c r="P895" s="91"/>
      <c r="Q895" s="91"/>
      <c r="R895" s="91"/>
      <c r="S895" s="91"/>
      <c r="T895" s="91"/>
      <c r="U895" s="91"/>
      <c r="V895" s="91"/>
    </row>
    <row r="896" spans="1:22" ht="12" hidden="1" customHeight="1">
      <c r="A896" s="91"/>
      <c r="B896" s="91"/>
      <c r="C896" s="91"/>
      <c r="D896" s="91"/>
      <c r="E896" s="91"/>
      <c r="F896" s="92"/>
      <c r="G896" s="92"/>
      <c r="H896" s="92"/>
      <c r="I896" s="92"/>
      <c r="J896" s="91"/>
      <c r="K896" s="91"/>
      <c r="L896" s="91"/>
      <c r="M896" s="91"/>
      <c r="N896" s="91"/>
      <c r="O896" s="91"/>
      <c r="P896" s="91"/>
      <c r="Q896" s="91"/>
      <c r="R896" s="91"/>
      <c r="S896" s="91"/>
      <c r="T896" s="91"/>
      <c r="U896" s="91"/>
      <c r="V896" s="91"/>
    </row>
    <row r="897" spans="1:22" ht="12" hidden="1" customHeight="1">
      <c r="A897" s="91"/>
      <c r="B897" s="91"/>
      <c r="C897" s="91"/>
      <c r="D897" s="91"/>
      <c r="E897" s="91"/>
      <c r="F897" s="92"/>
      <c r="G897" s="92"/>
      <c r="H897" s="92"/>
      <c r="I897" s="92"/>
      <c r="J897" s="91"/>
      <c r="K897" s="91"/>
      <c r="L897" s="91"/>
      <c r="M897" s="91"/>
      <c r="N897" s="91"/>
      <c r="O897" s="91"/>
      <c r="P897" s="91"/>
      <c r="Q897" s="91"/>
      <c r="R897" s="91"/>
      <c r="S897" s="91"/>
      <c r="T897" s="91"/>
      <c r="U897" s="91"/>
      <c r="V897" s="91"/>
    </row>
    <row r="898" spans="1:22" ht="12" hidden="1" customHeight="1">
      <c r="A898" s="91"/>
      <c r="B898" s="91"/>
      <c r="C898" s="91"/>
      <c r="D898" s="91"/>
      <c r="E898" s="91"/>
      <c r="F898" s="92"/>
      <c r="G898" s="92"/>
      <c r="H898" s="92"/>
      <c r="I898" s="92"/>
      <c r="J898" s="91"/>
      <c r="K898" s="91"/>
      <c r="L898" s="91"/>
      <c r="M898" s="91"/>
      <c r="N898" s="91"/>
      <c r="O898" s="91"/>
      <c r="P898" s="91"/>
      <c r="Q898" s="91"/>
      <c r="R898" s="91"/>
      <c r="S898" s="91"/>
      <c r="T898" s="91"/>
      <c r="U898" s="91"/>
      <c r="V898" s="91"/>
    </row>
    <row r="899" spans="1:22" ht="12" hidden="1" customHeight="1">
      <c r="A899" s="91"/>
      <c r="B899" s="91"/>
      <c r="C899" s="91"/>
      <c r="D899" s="91"/>
      <c r="E899" s="91"/>
      <c r="F899" s="92"/>
      <c r="G899" s="92"/>
      <c r="H899" s="92"/>
      <c r="I899" s="92"/>
      <c r="J899" s="91"/>
      <c r="K899" s="91"/>
      <c r="L899" s="91"/>
      <c r="M899" s="91"/>
      <c r="N899" s="91"/>
      <c r="O899" s="91"/>
      <c r="P899" s="91"/>
      <c r="Q899" s="91"/>
      <c r="R899" s="91"/>
      <c r="S899" s="91"/>
      <c r="T899" s="91"/>
      <c r="U899" s="91"/>
      <c r="V899" s="91"/>
    </row>
    <row r="900" spans="1:22" ht="12" hidden="1" customHeight="1">
      <c r="A900" s="91"/>
      <c r="B900" s="91"/>
      <c r="C900" s="91"/>
      <c r="D900" s="91"/>
      <c r="E900" s="91"/>
      <c r="F900" s="92"/>
      <c r="G900" s="92"/>
      <c r="H900" s="92"/>
      <c r="I900" s="92"/>
      <c r="J900" s="91"/>
      <c r="K900" s="91"/>
      <c r="L900" s="91"/>
      <c r="M900" s="91"/>
      <c r="N900" s="91"/>
      <c r="O900" s="91"/>
      <c r="P900" s="91"/>
      <c r="Q900" s="91"/>
      <c r="R900" s="91"/>
      <c r="S900" s="91"/>
      <c r="T900" s="91"/>
      <c r="U900" s="91"/>
      <c r="V900" s="91"/>
    </row>
    <row r="901" spans="1:22" ht="12" hidden="1" customHeight="1">
      <c r="A901" s="91"/>
      <c r="B901" s="91"/>
      <c r="C901" s="91"/>
      <c r="D901" s="91"/>
      <c r="E901" s="91"/>
      <c r="F901" s="92"/>
      <c r="G901" s="92"/>
      <c r="H901" s="92"/>
      <c r="I901" s="92"/>
      <c r="J901" s="91"/>
      <c r="K901" s="91"/>
      <c r="L901" s="91"/>
      <c r="M901" s="91"/>
      <c r="N901" s="91"/>
      <c r="O901" s="91"/>
      <c r="P901" s="91"/>
      <c r="Q901" s="91"/>
      <c r="R901" s="91"/>
      <c r="S901" s="91"/>
      <c r="T901" s="91"/>
      <c r="U901" s="91"/>
      <c r="V901" s="91"/>
    </row>
    <row r="902" spans="1:22" ht="12" hidden="1" customHeight="1">
      <c r="A902" s="91"/>
      <c r="B902" s="91"/>
      <c r="C902" s="91"/>
      <c r="D902" s="91"/>
      <c r="E902" s="91"/>
      <c r="F902" s="92"/>
      <c r="G902" s="92"/>
      <c r="H902" s="92"/>
      <c r="I902" s="92"/>
      <c r="J902" s="91"/>
      <c r="K902" s="91"/>
      <c r="L902" s="91"/>
      <c r="M902" s="91"/>
      <c r="N902" s="91"/>
      <c r="O902" s="91"/>
      <c r="P902" s="91"/>
      <c r="Q902" s="91"/>
      <c r="R902" s="91"/>
      <c r="S902" s="91"/>
      <c r="T902" s="91"/>
      <c r="U902" s="91"/>
      <c r="V902" s="91"/>
    </row>
    <row r="903" spans="1:22" ht="12" hidden="1" customHeight="1">
      <c r="A903" s="91"/>
      <c r="B903" s="91"/>
      <c r="C903" s="91"/>
      <c r="D903" s="91"/>
      <c r="E903" s="91"/>
      <c r="F903" s="92"/>
      <c r="G903" s="92"/>
      <c r="H903" s="92"/>
      <c r="I903" s="92"/>
      <c r="J903" s="91"/>
      <c r="K903" s="91"/>
      <c r="L903" s="91"/>
      <c r="M903" s="91"/>
      <c r="N903" s="91"/>
      <c r="O903" s="91"/>
      <c r="P903" s="91"/>
      <c r="Q903" s="91"/>
      <c r="R903" s="91"/>
      <c r="S903" s="91"/>
      <c r="T903" s="91"/>
      <c r="U903" s="91"/>
      <c r="V903" s="91"/>
    </row>
    <row r="904" spans="1:22" ht="12" hidden="1" customHeight="1">
      <c r="A904" s="91"/>
      <c r="B904" s="91"/>
      <c r="C904" s="91"/>
      <c r="D904" s="91"/>
      <c r="E904" s="91"/>
      <c r="F904" s="92"/>
      <c r="G904" s="92"/>
      <c r="H904" s="92"/>
      <c r="I904" s="92"/>
      <c r="J904" s="91"/>
      <c r="K904" s="91"/>
      <c r="L904" s="91"/>
      <c r="M904" s="91"/>
      <c r="N904" s="91"/>
      <c r="O904" s="91"/>
      <c r="P904" s="91"/>
      <c r="Q904" s="91"/>
      <c r="R904" s="91"/>
      <c r="S904" s="91"/>
      <c r="T904" s="91"/>
      <c r="U904" s="91"/>
      <c r="V904" s="91"/>
    </row>
    <row r="905" spans="1:22" ht="12" hidden="1" customHeight="1">
      <c r="A905" s="91"/>
      <c r="B905" s="91"/>
      <c r="C905" s="91"/>
      <c r="D905" s="91"/>
      <c r="E905" s="91"/>
      <c r="F905" s="92"/>
      <c r="G905" s="92"/>
      <c r="H905" s="92"/>
      <c r="I905" s="92"/>
      <c r="J905" s="91"/>
      <c r="K905" s="91"/>
      <c r="L905" s="91"/>
      <c r="M905" s="91"/>
      <c r="N905" s="91"/>
      <c r="O905" s="91"/>
      <c r="P905" s="91"/>
      <c r="Q905" s="91"/>
      <c r="R905" s="91"/>
      <c r="S905" s="91"/>
      <c r="T905" s="91"/>
      <c r="U905" s="91"/>
      <c r="V905" s="91"/>
    </row>
    <row r="906" spans="1:22" ht="12" hidden="1" customHeight="1">
      <c r="A906" s="91"/>
      <c r="B906" s="91"/>
      <c r="C906" s="91"/>
      <c r="D906" s="91"/>
      <c r="E906" s="91"/>
      <c r="F906" s="92"/>
      <c r="G906" s="92"/>
      <c r="H906" s="92"/>
      <c r="I906" s="92"/>
      <c r="J906" s="91"/>
      <c r="K906" s="91"/>
      <c r="L906" s="91"/>
      <c r="M906" s="91"/>
      <c r="N906" s="91"/>
      <c r="O906" s="91"/>
      <c r="P906" s="91"/>
      <c r="Q906" s="91"/>
      <c r="R906" s="91"/>
      <c r="S906" s="91"/>
      <c r="T906" s="91"/>
      <c r="U906" s="91"/>
      <c r="V906" s="91"/>
    </row>
    <row r="907" spans="1:22" ht="12" hidden="1" customHeight="1">
      <c r="A907" s="91"/>
      <c r="B907" s="91"/>
      <c r="C907" s="91"/>
      <c r="D907" s="91"/>
      <c r="E907" s="91"/>
      <c r="F907" s="92"/>
      <c r="G907" s="92"/>
      <c r="H907" s="92"/>
      <c r="I907" s="92"/>
      <c r="J907" s="91"/>
      <c r="K907" s="91"/>
      <c r="L907" s="91"/>
      <c r="M907" s="91"/>
      <c r="N907" s="91"/>
      <c r="O907" s="91"/>
      <c r="P907" s="91"/>
      <c r="Q907" s="91"/>
      <c r="R907" s="91"/>
      <c r="S907" s="91"/>
      <c r="T907" s="91"/>
      <c r="U907" s="91"/>
      <c r="V907" s="91"/>
    </row>
    <row r="908" spans="1:22" ht="12" hidden="1" customHeight="1">
      <c r="A908" s="91"/>
      <c r="B908" s="91"/>
      <c r="C908" s="91"/>
      <c r="D908" s="91"/>
      <c r="E908" s="91"/>
      <c r="F908" s="92"/>
      <c r="G908" s="92"/>
      <c r="H908" s="92"/>
      <c r="I908" s="92"/>
      <c r="J908" s="91"/>
      <c r="K908" s="91"/>
      <c r="L908" s="91"/>
      <c r="M908" s="91"/>
      <c r="N908" s="91"/>
      <c r="O908" s="91"/>
      <c r="P908" s="91"/>
      <c r="Q908" s="91"/>
      <c r="R908" s="91"/>
      <c r="S908" s="91"/>
      <c r="T908" s="91"/>
      <c r="U908" s="91"/>
      <c r="V908" s="91"/>
    </row>
    <row r="909" spans="1:22" ht="12" hidden="1" customHeight="1">
      <c r="A909" s="91"/>
      <c r="B909" s="91"/>
      <c r="C909" s="91"/>
      <c r="D909" s="91"/>
      <c r="E909" s="91"/>
      <c r="F909" s="92"/>
      <c r="G909" s="92"/>
      <c r="H909" s="92"/>
      <c r="I909" s="92"/>
      <c r="J909" s="91"/>
      <c r="K909" s="91"/>
      <c r="L909" s="91"/>
      <c r="M909" s="91"/>
      <c r="N909" s="91"/>
      <c r="O909" s="91"/>
      <c r="P909" s="91"/>
      <c r="Q909" s="91"/>
      <c r="R909" s="91"/>
      <c r="S909" s="91"/>
      <c r="T909" s="91"/>
      <c r="U909" s="91"/>
      <c r="V909" s="91"/>
    </row>
    <row r="910" spans="1:22" ht="12" hidden="1" customHeight="1">
      <c r="A910" s="91"/>
      <c r="B910" s="91"/>
      <c r="C910" s="91"/>
      <c r="D910" s="91"/>
      <c r="E910" s="91"/>
      <c r="F910" s="92"/>
      <c r="G910" s="92"/>
      <c r="H910" s="92"/>
      <c r="I910" s="92"/>
      <c r="J910" s="91"/>
      <c r="K910" s="91"/>
      <c r="L910" s="91"/>
      <c r="M910" s="91"/>
      <c r="N910" s="91"/>
      <c r="O910" s="91"/>
      <c r="P910" s="91"/>
      <c r="Q910" s="91"/>
      <c r="R910" s="91"/>
      <c r="S910" s="91"/>
      <c r="T910" s="91"/>
      <c r="U910" s="91"/>
      <c r="V910" s="91"/>
    </row>
    <row r="911" spans="1:22" ht="12" hidden="1" customHeight="1">
      <c r="A911" s="91"/>
      <c r="B911" s="91"/>
      <c r="C911" s="91"/>
      <c r="D911" s="91"/>
      <c r="E911" s="91"/>
      <c r="F911" s="92"/>
      <c r="G911" s="92"/>
      <c r="H911" s="92"/>
      <c r="I911" s="92"/>
      <c r="J911" s="91"/>
      <c r="K911" s="91"/>
      <c r="L911" s="91"/>
      <c r="M911" s="91"/>
      <c r="N911" s="91"/>
      <c r="O911" s="91"/>
      <c r="P911" s="91"/>
      <c r="Q911" s="91"/>
      <c r="R911" s="91"/>
      <c r="S911" s="91"/>
      <c r="T911" s="91"/>
      <c r="U911" s="91"/>
      <c r="V911" s="91"/>
    </row>
    <row r="912" spans="1:22" ht="12" hidden="1" customHeight="1">
      <c r="A912" s="91"/>
      <c r="B912" s="91"/>
      <c r="C912" s="91"/>
      <c r="D912" s="91"/>
      <c r="E912" s="91"/>
      <c r="F912" s="92"/>
      <c r="G912" s="92"/>
      <c r="H912" s="92"/>
      <c r="I912" s="92"/>
      <c r="J912" s="91"/>
      <c r="K912" s="91"/>
      <c r="L912" s="91"/>
      <c r="M912" s="91"/>
      <c r="N912" s="91"/>
      <c r="O912" s="91"/>
      <c r="P912" s="91"/>
      <c r="Q912" s="91"/>
      <c r="R912" s="91"/>
      <c r="S912" s="91"/>
      <c r="T912" s="91"/>
      <c r="U912" s="91"/>
      <c r="V912" s="91"/>
    </row>
    <row r="913" spans="1:22" ht="12" hidden="1" customHeight="1">
      <c r="A913" s="91"/>
      <c r="B913" s="91"/>
      <c r="C913" s="91"/>
      <c r="D913" s="91"/>
      <c r="E913" s="91"/>
      <c r="F913" s="92"/>
      <c r="G913" s="92"/>
      <c r="H913" s="92"/>
      <c r="I913" s="92"/>
      <c r="J913" s="91"/>
      <c r="K913" s="91"/>
      <c r="L913" s="91"/>
      <c r="M913" s="91"/>
      <c r="N913" s="91"/>
      <c r="O913" s="91"/>
      <c r="P913" s="91"/>
      <c r="Q913" s="91"/>
      <c r="R913" s="91"/>
      <c r="S913" s="91"/>
      <c r="T913" s="91"/>
      <c r="U913" s="91"/>
      <c r="V913" s="91"/>
    </row>
    <row r="914" spans="1:22" ht="12" hidden="1" customHeight="1">
      <c r="A914" s="91"/>
      <c r="B914" s="91"/>
      <c r="C914" s="91"/>
      <c r="D914" s="91"/>
      <c r="E914" s="91"/>
      <c r="F914" s="92"/>
      <c r="G914" s="92"/>
      <c r="H914" s="92"/>
      <c r="I914" s="92"/>
      <c r="J914" s="91"/>
      <c r="K914" s="91"/>
      <c r="L914" s="91"/>
      <c r="M914" s="91"/>
      <c r="N914" s="91"/>
      <c r="O914" s="91"/>
      <c r="P914" s="91"/>
      <c r="Q914" s="91"/>
      <c r="R914" s="91"/>
      <c r="S914" s="91"/>
      <c r="T914" s="91"/>
      <c r="U914" s="91"/>
      <c r="V914" s="91"/>
    </row>
    <row r="915" spans="1:22" ht="12" hidden="1" customHeight="1">
      <c r="A915" s="91"/>
      <c r="B915" s="91"/>
      <c r="C915" s="91"/>
      <c r="D915" s="91"/>
      <c r="E915" s="91"/>
      <c r="F915" s="92"/>
      <c r="G915" s="92"/>
      <c r="H915" s="92"/>
      <c r="I915" s="92"/>
      <c r="J915" s="91"/>
      <c r="K915" s="91"/>
      <c r="L915" s="91"/>
      <c r="M915" s="91"/>
      <c r="N915" s="91"/>
      <c r="O915" s="91"/>
      <c r="P915" s="91"/>
      <c r="Q915" s="91"/>
      <c r="R915" s="91"/>
      <c r="S915" s="91"/>
      <c r="T915" s="91"/>
      <c r="U915" s="91"/>
      <c r="V915" s="91"/>
    </row>
    <row r="916" spans="1:22" ht="12" hidden="1" customHeight="1">
      <c r="A916" s="91"/>
      <c r="B916" s="91"/>
      <c r="C916" s="91"/>
      <c r="D916" s="91"/>
      <c r="E916" s="91"/>
      <c r="F916" s="92"/>
      <c r="G916" s="92"/>
      <c r="H916" s="92"/>
      <c r="I916" s="92"/>
      <c r="J916" s="91"/>
      <c r="K916" s="91"/>
      <c r="L916" s="91"/>
      <c r="M916" s="91"/>
      <c r="N916" s="91"/>
      <c r="O916" s="91"/>
      <c r="P916" s="91"/>
      <c r="Q916" s="91"/>
      <c r="R916" s="91"/>
      <c r="S916" s="91"/>
      <c r="T916" s="91"/>
      <c r="U916" s="91"/>
      <c r="V916" s="91"/>
    </row>
    <row r="917" spans="1:22" ht="12" hidden="1" customHeight="1">
      <c r="A917" s="91"/>
      <c r="B917" s="91"/>
      <c r="C917" s="91"/>
      <c r="D917" s="91"/>
      <c r="E917" s="91"/>
      <c r="F917" s="92"/>
      <c r="G917" s="92"/>
      <c r="H917" s="92"/>
      <c r="I917" s="92"/>
      <c r="J917" s="91"/>
      <c r="K917" s="91"/>
      <c r="L917" s="91"/>
      <c r="M917" s="91"/>
      <c r="N917" s="91"/>
      <c r="O917" s="91"/>
      <c r="P917" s="91"/>
      <c r="Q917" s="91"/>
      <c r="R917" s="91"/>
      <c r="S917" s="91"/>
      <c r="T917" s="91"/>
      <c r="U917" s="91"/>
      <c r="V917" s="91"/>
    </row>
    <row r="918" spans="1:22" ht="12" hidden="1" customHeight="1">
      <c r="A918" s="91"/>
      <c r="B918" s="91"/>
      <c r="C918" s="91"/>
      <c r="D918" s="91"/>
      <c r="E918" s="91"/>
      <c r="F918" s="92"/>
      <c r="G918" s="92"/>
      <c r="H918" s="92"/>
      <c r="I918" s="92"/>
      <c r="J918" s="91"/>
      <c r="K918" s="91"/>
      <c r="L918" s="91"/>
      <c r="M918" s="91"/>
      <c r="N918" s="91"/>
      <c r="O918" s="91"/>
      <c r="P918" s="91"/>
      <c r="Q918" s="91"/>
      <c r="R918" s="91"/>
      <c r="S918" s="91"/>
      <c r="T918" s="91"/>
      <c r="U918" s="91"/>
      <c r="V918" s="91"/>
    </row>
    <row r="919" spans="1:22" ht="12" hidden="1" customHeight="1">
      <c r="A919" s="91"/>
      <c r="B919" s="91"/>
      <c r="C919" s="91"/>
      <c r="D919" s="91"/>
      <c r="E919" s="91"/>
      <c r="F919" s="92"/>
      <c r="G919" s="92"/>
      <c r="H919" s="92"/>
      <c r="I919" s="92"/>
      <c r="J919" s="91"/>
      <c r="K919" s="91"/>
      <c r="L919" s="91"/>
      <c r="M919" s="91"/>
      <c r="N919" s="91"/>
      <c r="O919" s="91"/>
      <c r="P919" s="91"/>
      <c r="Q919" s="91"/>
      <c r="R919" s="91"/>
      <c r="S919" s="91"/>
      <c r="T919" s="91"/>
      <c r="U919" s="91"/>
      <c r="V919" s="91"/>
    </row>
    <row r="920" spans="1:22" ht="12" hidden="1" customHeight="1">
      <c r="A920" s="91"/>
      <c r="B920" s="91"/>
      <c r="C920" s="91"/>
      <c r="D920" s="91"/>
      <c r="E920" s="91"/>
      <c r="F920" s="92"/>
      <c r="G920" s="92"/>
      <c r="H920" s="92"/>
      <c r="I920" s="92"/>
      <c r="J920" s="91"/>
      <c r="K920" s="91"/>
      <c r="L920" s="91"/>
      <c r="M920" s="91"/>
      <c r="N920" s="91"/>
      <c r="O920" s="91"/>
      <c r="P920" s="91"/>
      <c r="Q920" s="91"/>
      <c r="R920" s="91"/>
      <c r="S920" s="91"/>
      <c r="T920" s="91"/>
      <c r="U920" s="91"/>
      <c r="V920" s="91"/>
    </row>
    <row r="921" spans="1:22" ht="12" hidden="1" customHeight="1">
      <c r="A921" s="91"/>
      <c r="B921" s="91"/>
      <c r="C921" s="91"/>
      <c r="D921" s="91"/>
      <c r="E921" s="91"/>
      <c r="F921" s="92"/>
      <c r="G921" s="92"/>
      <c r="H921" s="92"/>
      <c r="I921" s="92"/>
      <c r="J921" s="91"/>
      <c r="K921" s="91"/>
      <c r="L921" s="91"/>
      <c r="M921" s="91"/>
      <c r="N921" s="91"/>
      <c r="O921" s="91"/>
      <c r="P921" s="91"/>
      <c r="Q921" s="91"/>
      <c r="R921" s="91"/>
      <c r="S921" s="91"/>
      <c r="T921" s="91"/>
      <c r="U921" s="91"/>
      <c r="V921" s="91"/>
    </row>
    <row r="922" spans="1:22" ht="12" hidden="1" customHeight="1">
      <c r="A922" s="91"/>
      <c r="B922" s="91"/>
      <c r="C922" s="91"/>
      <c r="D922" s="91"/>
      <c r="E922" s="91"/>
      <c r="F922" s="92"/>
      <c r="G922" s="92"/>
      <c r="H922" s="92"/>
      <c r="I922" s="92"/>
      <c r="J922" s="91"/>
      <c r="K922" s="91"/>
      <c r="L922" s="91"/>
      <c r="M922" s="91"/>
      <c r="N922" s="91"/>
      <c r="O922" s="91"/>
      <c r="P922" s="91"/>
      <c r="Q922" s="91"/>
      <c r="R922" s="91"/>
      <c r="S922" s="91"/>
      <c r="T922" s="91"/>
      <c r="U922" s="91"/>
      <c r="V922" s="91"/>
    </row>
    <row r="923" spans="1:22" ht="12" hidden="1" customHeight="1">
      <c r="A923" s="91"/>
      <c r="B923" s="91"/>
      <c r="C923" s="91"/>
      <c r="D923" s="91"/>
      <c r="E923" s="91"/>
      <c r="F923" s="92"/>
      <c r="G923" s="92"/>
      <c r="H923" s="92"/>
      <c r="I923" s="92"/>
      <c r="J923" s="91"/>
      <c r="K923" s="91"/>
      <c r="L923" s="91"/>
      <c r="M923" s="91"/>
      <c r="N923" s="91"/>
      <c r="O923" s="91"/>
      <c r="P923" s="91"/>
      <c r="Q923" s="91"/>
      <c r="R923" s="91"/>
      <c r="S923" s="91"/>
      <c r="T923" s="91"/>
      <c r="U923" s="91"/>
      <c r="V923" s="91"/>
    </row>
    <row r="924" spans="1:22" ht="12" hidden="1" customHeight="1">
      <c r="A924" s="91"/>
      <c r="B924" s="91"/>
      <c r="C924" s="91"/>
      <c r="D924" s="91"/>
      <c r="E924" s="91"/>
      <c r="F924" s="92"/>
      <c r="G924" s="92"/>
      <c r="H924" s="92"/>
      <c r="I924" s="92"/>
      <c r="J924" s="91"/>
      <c r="K924" s="91"/>
      <c r="L924" s="91"/>
      <c r="M924" s="91"/>
      <c r="N924" s="91"/>
      <c r="O924" s="91"/>
      <c r="P924" s="91"/>
      <c r="Q924" s="91"/>
      <c r="R924" s="91"/>
      <c r="S924" s="91"/>
      <c r="T924" s="91"/>
      <c r="U924" s="91"/>
      <c r="V924" s="91"/>
    </row>
    <row r="925" spans="1:22" ht="12" hidden="1" customHeight="1">
      <c r="A925" s="91"/>
      <c r="B925" s="91"/>
      <c r="C925" s="91"/>
      <c r="D925" s="91"/>
      <c r="E925" s="91"/>
      <c r="F925" s="92"/>
      <c r="G925" s="92"/>
      <c r="H925" s="92"/>
      <c r="I925" s="92"/>
      <c r="J925" s="91"/>
      <c r="K925" s="91"/>
      <c r="L925" s="91"/>
      <c r="M925" s="91"/>
      <c r="N925" s="91"/>
      <c r="O925" s="91"/>
      <c r="P925" s="91"/>
      <c r="Q925" s="91"/>
      <c r="R925" s="91"/>
      <c r="S925" s="91"/>
      <c r="T925" s="91"/>
      <c r="U925" s="91"/>
      <c r="V925" s="91"/>
    </row>
    <row r="926" spans="1:22" ht="12" hidden="1" customHeight="1">
      <c r="A926" s="91"/>
      <c r="B926" s="91"/>
      <c r="C926" s="91"/>
      <c r="D926" s="91"/>
      <c r="E926" s="91"/>
      <c r="F926" s="92"/>
      <c r="G926" s="92"/>
      <c r="H926" s="92"/>
      <c r="I926" s="92"/>
      <c r="J926" s="91"/>
      <c r="K926" s="91"/>
      <c r="L926" s="91"/>
      <c r="M926" s="91"/>
      <c r="N926" s="91"/>
      <c r="O926" s="91"/>
      <c r="P926" s="91"/>
      <c r="Q926" s="91"/>
      <c r="R926" s="91"/>
      <c r="S926" s="91"/>
      <c r="T926" s="91"/>
      <c r="U926" s="91"/>
      <c r="V926" s="91"/>
    </row>
    <row r="927" spans="1:22" ht="12" hidden="1" customHeight="1">
      <c r="A927" s="91"/>
      <c r="B927" s="91"/>
      <c r="C927" s="91"/>
      <c r="D927" s="91"/>
      <c r="E927" s="91"/>
      <c r="F927" s="92"/>
      <c r="G927" s="92"/>
      <c r="H927" s="92"/>
      <c r="I927" s="92"/>
      <c r="J927" s="91"/>
      <c r="K927" s="91"/>
      <c r="L927" s="91"/>
      <c r="M927" s="91"/>
      <c r="N927" s="91"/>
      <c r="O927" s="91"/>
      <c r="P927" s="91"/>
      <c r="Q927" s="91"/>
      <c r="R927" s="91"/>
      <c r="S927" s="91"/>
      <c r="T927" s="91"/>
      <c r="U927" s="91"/>
      <c r="V927" s="91"/>
    </row>
    <row r="928" spans="1:22" ht="12" hidden="1" customHeight="1">
      <c r="A928" s="91"/>
      <c r="B928" s="91"/>
      <c r="C928" s="91"/>
      <c r="D928" s="91"/>
      <c r="E928" s="91"/>
      <c r="F928" s="92"/>
      <c r="G928" s="92"/>
      <c r="H928" s="92"/>
      <c r="I928" s="92"/>
      <c r="J928" s="91"/>
      <c r="K928" s="91"/>
      <c r="L928" s="91"/>
      <c r="M928" s="91"/>
      <c r="N928" s="91"/>
      <c r="O928" s="91"/>
      <c r="P928" s="91"/>
      <c r="Q928" s="91"/>
      <c r="R928" s="91"/>
      <c r="S928" s="91"/>
      <c r="T928" s="91"/>
      <c r="U928" s="91"/>
      <c r="V928" s="91"/>
    </row>
    <row r="929" spans="1:22" ht="12" hidden="1" customHeight="1">
      <c r="A929" s="91"/>
      <c r="B929" s="91"/>
      <c r="C929" s="91"/>
      <c r="D929" s="91"/>
      <c r="E929" s="91"/>
      <c r="F929" s="92"/>
      <c r="G929" s="92"/>
      <c r="H929" s="92"/>
      <c r="I929" s="92"/>
      <c r="J929" s="91"/>
      <c r="K929" s="91"/>
      <c r="L929" s="91"/>
      <c r="M929" s="91"/>
      <c r="N929" s="91"/>
      <c r="O929" s="91"/>
      <c r="P929" s="91"/>
      <c r="Q929" s="91"/>
      <c r="R929" s="91"/>
      <c r="S929" s="91"/>
      <c r="T929" s="91"/>
      <c r="U929" s="91"/>
      <c r="V929" s="91"/>
    </row>
    <row r="930" spans="1:22" ht="12" hidden="1" customHeight="1">
      <c r="A930" s="91"/>
      <c r="B930" s="91"/>
      <c r="C930" s="91"/>
      <c r="D930" s="91"/>
      <c r="E930" s="91"/>
      <c r="F930" s="92"/>
      <c r="G930" s="92"/>
      <c r="H930" s="92"/>
      <c r="I930" s="92"/>
      <c r="J930" s="91"/>
      <c r="K930" s="91"/>
      <c r="L930" s="91"/>
      <c r="M930" s="91"/>
      <c r="N930" s="91"/>
      <c r="O930" s="91"/>
      <c r="P930" s="91"/>
      <c r="Q930" s="91"/>
      <c r="R930" s="91"/>
      <c r="S930" s="91"/>
      <c r="T930" s="91"/>
      <c r="U930" s="91"/>
      <c r="V930" s="91"/>
    </row>
    <row r="931" spans="1:22" ht="12" hidden="1" customHeight="1">
      <c r="A931" s="91"/>
      <c r="B931" s="91"/>
      <c r="C931" s="91"/>
      <c r="D931" s="91"/>
      <c r="E931" s="91"/>
      <c r="F931" s="92"/>
      <c r="G931" s="92"/>
      <c r="H931" s="92"/>
      <c r="I931" s="92"/>
      <c r="J931" s="91"/>
      <c r="K931" s="91"/>
      <c r="L931" s="91"/>
      <c r="M931" s="91"/>
      <c r="N931" s="91"/>
      <c r="O931" s="91"/>
      <c r="P931" s="91"/>
      <c r="Q931" s="91"/>
      <c r="R931" s="91"/>
      <c r="S931" s="91"/>
      <c r="T931" s="91"/>
      <c r="U931" s="91"/>
      <c r="V931" s="91"/>
    </row>
    <row r="932" spans="1:22" ht="12" hidden="1" customHeight="1">
      <c r="A932" s="91"/>
      <c r="B932" s="91"/>
      <c r="C932" s="91"/>
      <c r="D932" s="91"/>
      <c r="E932" s="91"/>
      <c r="F932" s="92"/>
      <c r="G932" s="92"/>
      <c r="H932" s="92"/>
      <c r="I932" s="92"/>
      <c r="J932" s="91"/>
      <c r="K932" s="91"/>
      <c r="L932" s="91"/>
      <c r="M932" s="91"/>
      <c r="N932" s="91"/>
      <c r="O932" s="91"/>
      <c r="P932" s="91"/>
      <c r="Q932" s="91"/>
      <c r="R932" s="91"/>
      <c r="S932" s="91"/>
      <c r="T932" s="91"/>
      <c r="U932" s="91"/>
      <c r="V932" s="91"/>
    </row>
    <row r="933" spans="1:22" ht="12" hidden="1" customHeight="1">
      <c r="A933" s="91"/>
      <c r="B933" s="91"/>
      <c r="C933" s="91"/>
      <c r="D933" s="91"/>
      <c r="E933" s="91"/>
      <c r="F933" s="92"/>
      <c r="G933" s="92"/>
      <c r="H933" s="92"/>
      <c r="I933" s="92"/>
      <c r="J933" s="91"/>
      <c r="K933" s="91"/>
      <c r="L933" s="91"/>
      <c r="M933" s="91"/>
      <c r="N933" s="91"/>
      <c r="O933" s="91"/>
      <c r="P933" s="91"/>
      <c r="Q933" s="91"/>
      <c r="R933" s="91"/>
      <c r="S933" s="91"/>
      <c r="T933" s="91"/>
      <c r="U933" s="91"/>
      <c r="V933" s="91"/>
    </row>
    <row r="934" spans="1:22" ht="12" hidden="1" customHeight="1">
      <c r="A934" s="91"/>
      <c r="B934" s="91"/>
      <c r="C934" s="91"/>
      <c r="D934" s="91"/>
      <c r="E934" s="91"/>
      <c r="F934" s="92"/>
      <c r="G934" s="92"/>
      <c r="H934" s="92"/>
      <c r="I934" s="92"/>
      <c r="J934" s="91"/>
      <c r="K934" s="91"/>
      <c r="L934" s="91"/>
      <c r="M934" s="91"/>
      <c r="N934" s="91"/>
      <c r="O934" s="91"/>
      <c r="P934" s="91"/>
      <c r="Q934" s="91"/>
      <c r="R934" s="91"/>
      <c r="S934" s="91"/>
      <c r="T934" s="91"/>
      <c r="U934" s="91"/>
      <c r="V934" s="91"/>
    </row>
    <row r="935" spans="1:22" ht="12" hidden="1" customHeight="1">
      <c r="A935" s="91"/>
      <c r="B935" s="91"/>
      <c r="C935" s="91"/>
      <c r="D935" s="91"/>
      <c r="E935" s="91"/>
      <c r="F935" s="92"/>
      <c r="G935" s="92"/>
      <c r="H935" s="92"/>
      <c r="I935" s="92"/>
      <c r="J935" s="91"/>
      <c r="K935" s="91"/>
      <c r="L935" s="91"/>
      <c r="M935" s="91"/>
      <c r="N935" s="91"/>
      <c r="O935" s="91"/>
      <c r="P935" s="91"/>
      <c r="Q935" s="91"/>
      <c r="R935" s="91"/>
      <c r="S935" s="91"/>
      <c r="T935" s="91"/>
      <c r="U935" s="91"/>
      <c r="V935" s="91"/>
    </row>
    <row r="936" spans="1:22" ht="12" hidden="1" customHeight="1">
      <c r="A936" s="91"/>
      <c r="B936" s="91"/>
      <c r="C936" s="91"/>
      <c r="D936" s="91"/>
      <c r="E936" s="91"/>
      <c r="F936" s="92"/>
      <c r="G936" s="92"/>
      <c r="H936" s="92"/>
      <c r="I936" s="92"/>
      <c r="J936" s="91"/>
      <c r="K936" s="91"/>
      <c r="L936" s="91"/>
      <c r="M936" s="91"/>
      <c r="N936" s="91"/>
      <c r="O936" s="91"/>
      <c r="P936" s="91"/>
      <c r="Q936" s="91"/>
      <c r="R936" s="91"/>
      <c r="S936" s="91"/>
      <c r="T936" s="91"/>
      <c r="U936" s="91"/>
      <c r="V936" s="91"/>
    </row>
    <row r="937" spans="1:22" ht="12" hidden="1" customHeight="1">
      <c r="A937" s="91"/>
      <c r="B937" s="91"/>
      <c r="C937" s="91"/>
      <c r="D937" s="91"/>
      <c r="E937" s="91"/>
      <c r="F937" s="92"/>
      <c r="G937" s="92"/>
      <c r="H937" s="92"/>
      <c r="I937" s="92"/>
      <c r="J937" s="91"/>
      <c r="K937" s="91"/>
      <c r="L937" s="91"/>
      <c r="M937" s="91"/>
      <c r="N937" s="91"/>
      <c r="O937" s="91"/>
      <c r="P937" s="91"/>
      <c r="Q937" s="91"/>
      <c r="R937" s="91"/>
      <c r="S937" s="91"/>
      <c r="T937" s="91"/>
      <c r="U937" s="91"/>
      <c r="V937" s="91"/>
    </row>
    <row r="938" spans="1:22" ht="12" hidden="1" customHeight="1">
      <c r="A938" s="91"/>
      <c r="B938" s="91"/>
      <c r="C938" s="91"/>
      <c r="D938" s="91"/>
      <c r="E938" s="91"/>
      <c r="F938" s="92"/>
      <c r="G938" s="92"/>
      <c r="H938" s="92"/>
      <c r="I938" s="92"/>
      <c r="J938" s="91"/>
      <c r="K938" s="91"/>
      <c r="L938" s="91"/>
      <c r="M938" s="91"/>
      <c r="N938" s="91"/>
      <c r="O938" s="91"/>
      <c r="P938" s="91"/>
      <c r="Q938" s="91"/>
      <c r="R938" s="91"/>
      <c r="S938" s="91"/>
      <c r="T938" s="91"/>
      <c r="U938" s="91"/>
      <c r="V938" s="91"/>
    </row>
    <row r="939" spans="1:22" ht="12" hidden="1" customHeight="1">
      <c r="A939" s="91"/>
      <c r="B939" s="91"/>
      <c r="C939" s="91"/>
      <c r="D939" s="91"/>
      <c r="E939" s="91"/>
      <c r="F939" s="92"/>
      <c r="G939" s="92"/>
      <c r="H939" s="92"/>
      <c r="I939" s="92"/>
      <c r="J939" s="91"/>
      <c r="K939" s="91"/>
      <c r="L939" s="91"/>
      <c r="M939" s="91"/>
      <c r="N939" s="91"/>
      <c r="O939" s="91"/>
      <c r="P939" s="91"/>
      <c r="Q939" s="91"/>
      <c r="R939" s="91"/>
      <c r="S939" s="91"/>
      <c r="T939" s="91"/>
      <c r="U939" s="91"/>
      <c r="V939" s="91"/>
    </row>
    <row r="945" s="93" customFormat="1" ht="15" hidden="1" customHeight="1"/>
    <row r="946" s="93" customFormat="1" ht="15" hidden="1" customHeight="1"/>
    <row r="947" s="93" customFormat="1" ht="15" hidden="1" customHeight="1"/>
    <row r="948" s="93" customFormat="1" ht="15" hidden="1" customHeight="1"/>
    <row r="949" s="93" customFormat="1" ht="15" hidden="1" customHeight="1"/>
    <row r="950" s="93" customFormat="1" ht="15" hidden="1" customHeight="1"/>
  </sheetData>
  <mergeCells count="36">
    <mergeCell ref="D56:E56"/>
    <mergeCell ref="F56:I56"/>
    <mergeCell ref="C3:I5"/>
    <mergeCell ref="C6:I6"/>
    <mergeCell ref="D10:I10"/>
    <mergeCell ref="C12:D12"/>
    <mergeCell ref="C14:I14"/>
    <mergeCell ref="C16:D16"/>
    <mergeCell ref="C18:I18"/>
    <mergeCell ref="D20:E20"/>
    <mergeCell ref="F20:I20"/>
    <mergeCell ref="D37:E37"/>
    <mergeCell ref="F37:I37"/>
    <mergeCell ref="C144:D144"/>
    <mergeCell ref="D75:I75"/>
    <mergeCell ref="C77:D77"/>
    <mergeCell ref="C79:I79"/>
    <mergeCell ref="C81:D81"/>
    <mergeCell ref="C83:I83"/>
    <mergeCell ref="D85:E85"/>
    <mergeCell ref="F85:I85"/>
    <mergeCell ref="D104:E104"/>
    <mergeCell ref="F104:I104"/>
    <mergeCell ref="D122:E122"/>
    <mergeCell ref="F122:I122"/>
    <mergeCell ref="D142:I142"/>
    <mergeCell ref="C140:I140"/>
    <mergeCell ref="D189:E189"/>
    <mergeCell ref="F189:I189"/>
    <mergeCell ref="C146:I146"/>
    <mergeCell ref="C148:D148"/>
    <mergeCell ref="C150:I150"/>
    <mergeCell ref="D152:E152"/>
    <mergeCell ref="F152:I152"/>
    <mergeCell ref="D171:E171"/>
    <mergeCell ref="F171:I171"/>
  </mergeCells>
  <dataValidations count="1">
    <dataValidation type="list" allowBlank="1" showErrorMessage="1" sqref="E72 E139 E208" xr:uid="{A9EAC594-0477-4E7C-86F8-4A07845A5A56}">
      <formula1>"Qualitativo,Quantitativo"</formula1>
    </dataValidation>
  </dataValidations>
  <pageMargins left="0.511811024" right="0.511811024" top="0.78740157499999996" bottom="0.78740157499999996" header="0" footer="0"/>
  <pageSetup paperSize="8" scale="51"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2F808-8906-494C-8041-40844C49CD9D}">
  <dimension ref="A1:M75"/>
  <sheetViews>
    <sheetView workbookViewId="0">
      <selection activeCell="M2" sqref="M2"/>
    </sheetView>
  </sheetViews>
  <sheetFormatPr defaultRowHeight="15"/>
  <cols>
    <col min="1" max="1" width="26.28515625" customWidth="1"/>
    <col min="2" max="2" width="25.140625" customWidth="1"/>
    <col min="3" max="3" width="50.5703125" customWidth="1"/>
    <col min="4" max="4" width="26.140625" customWidth="1"/>
    <col min="5" max="5" width="11.42578125" style="174" bestFit="1" customWidth="1"/>
    <col min="6" max="6" width="11.42578125" bestFit="1" customWidth="1"/>
    <col min="7" max="7" width="13.140625" style="176" customWidth="1"/>
    <col min="8" max="8" width="11.42578125" style="202" bestFit="1" customWidth="1"/>
    <col min="9" max="9" width="11.42578125" bestFit="1" customWidth="1"/>
  </cols>
  <sheetData>
    <row r="1" spans="1:13">
      <c r="A1" s="171" t="s">
        <v>135</v>
      </c>
      <c r="B1" s="171" t="s">
        <v>136</v>
      </c>
      <c r="C1" s="171" t="s">
        <v>137</v>
      </c>
      <c r="D1" s="171" t="s">
        <v>138</v>
      </c>
      <c r="E1" s="173" t="s">
        <v>139</v>
      </c>
      <c r="F1" s="171" t="s">
        <v>140</v>
      </c>
      <c r="G1" s="175" t="s">
        <v>141</v>
      </c>
      <c r="H1" s="171" t="s">
        <v>142</v>
      </c>
      <c r="I1" s="171" t="s">
        <v>143</v>
      </c>
      <c r="J1" s="171" t="s">
        <v>144</v>
      </c>
      <c r="K1" t="s">
        <v>145</v>
      </c>
      <c r="L1" t="s">
        <v>146</v>
      </c>
      <c r="M1" t="s">
        <v>147</v>
      </c>
    </row>
    <row r="2" spans="1:13" ht="44.25" customHeight="1">
      <c r="A2" s="169" t="s">
        <v>2</v>
      </c>
      <c r="B2" s="169" t="s">
        <v>26</v>
      </c>
      <c r="C2" s="169" t="s">
        <v>32</v>
      </c>
      <c r="D2" s="169" t="s">
        <v>29</v>
      </c>
      <c r="E2" s="170">
        <v>46054</v>
      </c>
      <c r="F2" s="170">
        <v>46142</v>
      </c>
      <c r="G2" s="172">
        <f>F2-E2</f>
        <v>88</v>
      </c>
      <c r="H2" s="203" cm="1">
        <f t="array" ref="H2">IF($A2="Eixo: 2 - Formação e Desenvolvimento",$G2,_xludf.NA())</f>
        <v>88</v>
      </c>
      <c r="I2" s="203" t="e" cm="1">
        <f t="array" aca="1" ref="I2" ca="1">IF($A2="Eixo: 4 - Telessaúde",$G2,_xludf.NA())</f>
        <v>#NAME?</v>
      </c>
      <c r="J2" s="203" t="e" cm="1">
        <f t="array" aca="1" ref="J2" ca="1">IF($A2="Eixo: 6 - Monitoramento, avaliação e disseminação de informações estratégicas",$G2,_xludf.NA())</f>
        <v>#NAME?</v>
      </c>
    </row>
    <row r="3" spans="1:13" ht="28.5" customHeight="1">
      <c r="A3" s="169" t="s">
        <v>2</v>
      </c>
      <c r="B3" s="169" t="s">
        <v>10</v>
      </c>
      <c r="C3" s="169" t="s">
        <v>18</v>
      </c>
      <c r="D3" s="169" t="s">
        <v>19</v>
      </c>
      <c r="E3" s="170">
        <v>46055</v>
      </c>
      <c r="F3" s="170">
        <v>46080</v>
      </c>
      <c r="G3" s="172">
        <f>F3-E3</f>
        <v>25</v>
      </c>
      <c r="H3" s="203" cm="1">
        <f t="array" ref="H3">IF($A3="Eixo: 2 - Formação e Desenvolvimento",$G3,_xludf.NA())</f>
        <v>25</v>
      </c>
      <c r="I3" s="203" t="e" cm="1">
        <f t="array" aca="1" ref="I3" ca="1">IF($A3="Eixo: 4 - Telessaúde",$G3,_xludf.NA())</f>
        <v>#NAME?</v>
      </c>
      <c r="J3" s="203" t="e" cm="1">
        <f t="array" aca="1" ref="J3" ca="1">IF($A3="Eixo: 6 - Monitoramento, avaliação e disseminação de informações estratégicas",$G3,_xludf.NA())</f>
        <v>#NAME?</v>
      </c>
    </row>
    <row r="4" spans="1:13" ht="30.75" customHeight="1">
      <c r="A4" s="169" t="s">
        <v>2</v>
      </c>
      <c r="B4" s="169" t="s">
        <v>10</v>
      </c>
      <c r="C4" s="169" t="s">
        <v>20</v>
      </c>
      <c r="D4" s="169" t="s">
        <v>21</v>
      </c>
      <c r="E4" s="170">
        <v>46055</v>
      </c>
      <c r="F4" s="170">
        <v>46080</v>
      </c>
      <c r="G4" s="172">
        <f>F4-E4</f>
        <v>25</v>
      </c>
      <c r="H4" s="203" cm="1">
        <f t="array" ref="H4">IF($A4="Eixo: 2 - Formação e Desenvolvimento",$G4,_xludf.NA())</f>
        <v>25</v>
      </c>
      <c r="I4" s="203" t="e" cm="1">
        <f t="array" aca="1" ref="I4" ca="1">IF($A4="Eixo: 4 - Telessaúde",$G4,_xludf.NA())</f>
        <v>#NAME?</v>
      </c>
      <c r="J4" s="203" t="e" cm="1">
        <f t="array" aca="1" ref="J4" ca="1">IF($A4="Eixo: 6 - Monitoramento, avaliação e disseminação de informações estratégicas",$G4,_xludf.NA())</f>
        <v>#NAME?</v>
      </c>
    </row>
    <row r="5" spans="1:13" ht="26.25" customHeight="1">
      <c r="A5" s="169" t="s">
        <v>2</v>
      </c>
      <c r="B5" s="169" t="s">
        <v>26</v>
      </c>
      <c r="C5" s="169" t="s">
        <v>28</v>
      </c>
      <c r="D5" s="169" t="s">
        <v>29</v>
      </c>
      <c r="E5" s="170">
        <v>46055</v>
      </c>
      <c r="F5" s="170">
        <v>46142</v>
      </c>
      <c r="G5" s="172">
        <f>F5-E5</f>
        <v>87</v>
      </c>
      <c r="H5" s="203" cm="1">
        <f t="array" ref="H5">IF($A5="Eixo: 2 - Formação e Desenvolvimento",$G5,_xludf.NA())</f>
        <v>87</v>
      </c>
      <c r="I5" s="203" t="e" cm="1">
        <f t="array" aca="1" ref="I5" ca="1">IF($A5="Eixo: 4 - Telessaúde",$G5,_xludf.NA())</f>
        <v>#NAME?</v>
      </c>
      <c r="J5" s="203" t="e" cm="1">
        <f t="array" aca="1" ref="J5" ca="1">IF($A5="Eixo: 6 - Monitoramento, avaliação e disseminação de informações estratégicas",$G5,_xludf.NA())</f>
        <v>#NAME?</v>
      </c>
    </row>
    <row r="6" spans="1:13" ht="30.75">
      <c r="A6" s="169" t="s">
        <v>2</v>
      </c>
      <c r="B6" s="169" t="s">
        <v>26</v>
      </c>
      <c r="C6" s="169" t="s">
        <v>30</v>
      </c>
      <c r="D6" s="169" t="s">
        <v>29</v>
      </c>
      <c r="E6" s="170">
        <v>46055</v>
      </c>
      <c r="F6" s="170">
        <v>46142</v>
      </c>
      <c r="G6" s="172">
        <f>F6-E6</f>
        <v>87</v>
      </c>
      <c r="H6" s="203" cm="1">
        <f t="array" ref="H6">IF($A6="Eixo: 2 - Formação e Desenvolvimento",$G6,_xludf.NA())</f>
        <v>87</v>
      </c>
      <c r="I6" s="203" t="e" cm="1">
        <f t="array" aca="1" ref="I6" ca="1">IF($A6="Eixo: 4 - Telessaúde",$G6,_xludf.NA())</f>
        <v>#NAME?</v>
      </c>
      <c r="J6" s="203" t="e" cm="1">
        <f t="array" aca="1" ref="J6" ca="1">IF($A6="Eixo: 6 - Monitoramento, avaliação e disseminação de informações estratégicas",$G6,_xludf.NA())</f>
        <v>#NAME?</v>
      </c>
    </row>
    <row r="7" spans="1:13" ht="27" customHeight="1">
      <c r="A7" s="169" t="s">
        <v>2</v>
      </c>
      <c r="B7" s="169" t="s">
        <v>26</v>
      </c>
      <c r="C7" s="169" t="s">
        <v>31</v>
      </c>
      <c r="D7" s="169" t="s">
        <v>29</v>
      </c>
      <c r="E7" s="170">
        <v>46055</v>
      </c>
      <c r="F7" s="170">
        <v>46142</v>
      </c>
      <c r="G7" s="172">
        <f>F7-E7</f>
        <v>87</v>
      </c>
      <c r="H7" s="203" cm="1">
        <f t="array" ref="H7">IF($A7="Eixo: 2 - Formação e Desenvolvimento",$G7,_xludf.NA())</f>
        <v>87</v>
      </c>
      <c r="I7" s="203" t="e" cm="1">
        <f t="array" aca="1" ref="I7" ca="1">IF($A7="Eixo: 4 - Telessaúde",$G7,_xludf.NA())</f>
        <v>#NAME?</v>
      </c>
      <c r="J7" s="203" t="e" cm="1">
        <f t="array" aca="1" ref="J7" ca="1">IF($A7="Eixo: 6 - Monitoramento, avaliação e disseminação de informações estratégicas",$G7,_xludf.NA())</f>
        <v>#NAME?</v>
      </c>
    </row>
    <row r="8" spans="1:13">
      <c r="A8" t="s">
        <v>48</v>
      </c>
      <c r="B8" t="str">
        <f>'OKR '!D122</f>
        <v>Consolidar o uso da telessaúde na microrregião</v>
      </c>
      <c r="C8" t="str">
        <f>'OKR '!D125</f>
        <v>Definir agendas seguras para realização das teleconsultorias</v>
      </c>
      <c r="D8" t="str">
        <f>'OKR '!E125</f>
        <v xml:space="preserve">Área Técnica das SMS / Gestores com tomada de decisão </v>
      </c>
      <c r="E8" s="174">
        <f>'OKR '!G125</f>
        <v>46055</v>
      </c>
      <c r="F8" s="174">
        <f>'OKR '!H125</f>
        <v>46112</v>
      </c>
      <c r="G8" s="172">
        <f>F8-E8</f>
        <v>57</v>
      </c>
      <c r="H8" s="203" t="e" cm="1">
        <f t="array" aca="1" ref="H8" ca="1">IF($A8="Eixo: 2 - Formação e Desenvolvimento",$G8,_xludf.NA())</f>
        <v>#NAME?</v>
      </c>
      <c r="I8" s="203" cm="1">
        <f t="array" ref="I8">IF($A8="Eixo: 4 - Telessaúde",$G8,_xludf.NA())</f>
        <v>57</v>
      </c>
      <c r="J8" s="203" t="e" cm="1">
        <f t="array" aca="1" ref="J8" ca="1">IF($A8="Eixo: 6 - Monitoramento, avaliação e disseminação de informações estratégicas",$G8,_xludf.NA())</f>
        <v>#NAME?</v>
      </c>
    </row>
    <row r="9" spans="1:13">
      <c r="A9" t="s">
        <v>48</v>
      </c>
      <c r="B9" t="s">
        <v>73</v>
      </c>
      <c r="C9" t="str">
        <f>'OKR '!D126</f>
        <v>Criar repositório permanente de casos e estudos</v>
      </c>
      <c r="D9" t="str">
        <f>'OKR '!E126</f>
        <v xml:space="preserve">Grupo de Estudo </v>
      </c>
      <c r="E9" s="174">
        <f>'OKR '!G126</f>
        <v>46055</v>
      </c>
      <c r="F9" s="174">
        <f>'OKR '!H126</f>
        <v>46112</v>
      </c>
      <c r="G9" s="172">
        <f>F9-E9</f>
        <v>57</v>
      </c>
      <c r="H9" s="203" t="e" cm="1">
        <f t="array" aca="1" ref="H9" ca="1">IF($A9="Eixo: 2 - Formação e Desenvolvimento",$G9,_xludf.NA())</f>
        <v>#NAME?</v>
      </c>
      <c r="I9" s="203" cm="1">
        <f t="array" ref="I9">IF($A9="Eixo: 4 - Telessaúde",$G9,_xludf.NA())</f>
        <v>57</v>
      </c>
      <c r="J9" s="203" t="e" cm="1">
        <f t="array" aca="1" ref="J9" ca="1">IF($A9="Eixo: 6 - Monitoramento, avaliação e disseminação de informações estratégicas",$G9,_xludf.NA())</f>
        <v>#NAME?</v>
      </c>
    </row>
    <row r="10" spans="1:13">
      <c r="A10" t="s">
        <v>48</v>
      </c>
      <c r="B10" t="s">
        <v>73</v>
      </c>
      <c r="C10" t="str">
        <f>'OKR '!D127</f>
        <v xml:space="preserve">Estruturar grupo de estudo sobre telessaúde (implementação, operação, inovação... ) </v>
      </c>
      <c r="D10" t="str">
        <f>'OKR '!E127</f>
        <v>Equipe Microrregional</v>
      </c>
      <c r="E10" s="174">
        <f>'OKR '!G127</f>
        <v>46055</v>
      </c>
      <c r="F10" s="174">
        <f>'OKR '!H127</f>
        <v>46112</v>
      </c>
      <c r="G10" s="172">
        <f>F10-E10</f>
        <v>57</v>
      </c>
      <c r="H10" s="203" t="e" cm="1">
        <f t="array" aca="1" ref="H10" ca="1">IF($A10="Eixo: 2 - Formação e Desenvolvimento",$G10,_xludf.NA())</f>
        <v>#NAME?</v>
      </c>
      <c r="I10" s="203" cm="1">
        <f t="array" ref="I10">IF($A10="Eixo: 4 - Telessaúde",$G10,_xludf.NA())</f>
        <v>57</v>
      </c>
      <c r="J10" s="203" t="e" cm="1">
        <f t="array" aca="1" ref="J10" ca="1">IF($A10="Eixo: 6 - Monitoramento, avaliação e disseminação de informações estratégicas",$G10,_xludf.NA())</f>
        <v>#NAME?</v>
      </c>
    </row>
    <row r="11" spans="1:13">
      <c r="A11" t="str">
        <f>'OKR '!C73</f>
        <v>Eixo: 4 - Telessaúde</v>
      </c>
      <c r="B11" t="str">
        <f>'OKR '!D85</f>
        <v>Organizar a governança e a estrutura institucional da Telessaúde</v>
      </c>
      <c r="C11" t="str">
        <f>'OKR '!D88</f>
        <v>Definir representantes municipais para atuar na condução conjunta da Telessaúde na microrregião</v>
      </c>
      <c r="D11" t="str">
        <f>'OKR '!E88</f>
        <v>Gestores Municipais</v>
      </c>
      <c r="E11" s="174">
        <f>'OKR '!G88</f>
        <v>46055</v>
      </c>
      <c r="F11" s="174">
        <f>'OKR '!H88</f>
        <v>46080</v>
      </c>
      <c r="G11" s="172">
        <f>F11-E11</f>
        <v>25</v>
      </c>
      <c r="H11" s="203" t="e" cm="1">
        <f t="array" aca="1" ref="H11" ca="1">IF($A11="Eixo: 2 - Formação e Desenvolvimento",$G11,_xludf.NA())</f>
        <v>#NAME?</v>
      </c>
      <c r="I11" s="203" cm="1">
        <f t="array" ref="I11">IF($A11="Eixo: 4 - Telessaúde",$G11,_xludf.NA())</f>
        <v>25</v>
      </c>
      <c r="J11" s="203" t="e" cm="1">
        <f t="array" aca="1" ref="J11" ca="1">IF($A11="Eixo: 6 - Monitoramento, avaliação e disseminação de informações estratégicas",$G11,_xludf.NA())</f>
        <v>#NAME?</v>
      </c>
    </row>
    <row r="12" spans="1:13">
      <c r="A12" t="s">
        <v>48</v>
      </c>
      <c r="B12" t="s">
        <v>52</v>
      </c>
      <c r="C12" t="str">
        <f>'OKR '!D89</f>
        <v>Instituir instância de governança microrregional (escopo de atuação, atribuições, regularidade dos encontros etc)</v>
      </c>
      <c r="D12" t="str">
        <f>'OKR '!E89</f>
        <v>SMS ; Equipe da Telessaúde ; NSDIGI ; Cosems</v>
      </c>
      <c r="E12" s="174">
        <f>'OKR '!G89</f>
        <v>46055</v>
      </c>
      <c r="F12" s="174">
        <f>'OKR '!H89</f>
        <v>46112</v>
      </c>
      <c r="G12" s="172">
        <f>F12-E12</f>
        <v>57</v>
      </c>
      <c r="H12" s="203" t="e" cm="1">
        <f t="array" aca="1" ref="H12" ca="1">IF($A12="Eixo: 2 - Formação e Desenvolvimento",$G12,_xludf.NA())</f>
        <v>#NAME?</v>
      </c>
      <c r="I12" s="203" cm="1">
        <f t="array" ref="I12">IF($A12="Eixo: 4 - Telessaúde",$G12,_xludf.NA())</f>
        <v>57</v>
      </c>
      <c r="J12" s="203" t="e" cm="1">
        <f t="array" aca="1" ref="J12" ca="1">IF($A12="Eixo: 6 - Monitoramento, avaliação e disseminação de informações estratégicas",$G12,_xludf.NA())</f>
        <v>#NAME?</v>
      </c>
    </row>
    <row r="13" spans="1:13">
      <c r="A13" t="s">
        <v>86</v>
      </c>
      <c r="B13" t="str">
        <f>'OKR '!D171</f>
        <v>Definir padrões mínimos e governança de dados</v>
      </c>
      <c r="C13" t="str">
        <f>'OKR '!D174</f>
        <v>Instituir governança local de dados</v>
      </c>
      <c r="D13" t="str">
        <f>'OKR '!E174</f>
        <v>Grupo de trabalho, NSDIGI, Gestores Municipais</v>
      </c>
      <c r="E13" s="174">
        <f>'OKR '!G174</f>
        <v>46055</v>
      </c>
      <c r="F13" s="174">
        <f>'OKR '!H174</f>
        <v>46112</v>
      </c>
      <c r="G13" s="172">
        <f>F13-E13</f>
        <v>57</v>
      </c>
      <c r="H13" s="203" t="e" cm="1">
        <f t="array" aca="1" ref="H13" ca="1">IF($A13="Eixo: 2 - Formação e Desenvolvimento",$G13,_xludf.NA())</f>
        <v>#NAME?</v>
      </c>
      <c r="I13" s="203" t="e" cm="1">
        <f t="array" aca="1" ref="I13" ca="1">IF($A13="Eixo: 4 - Telessaúde",$G13,_xludf.NA())</f>
        <v>#NAME?</v>
      </c>
      <c r="J13" s="203" cm="1">
        <f t="array" ref="J13">IF($A13="Eixo: 6 - Monitoramento, avaliação e disseminação de informações estratégicas",$G13,_xludf.NA())</f>
        <v>57</v>
      </c>
    </row>
    <row r="14" spans="1:13">
      <c r="A14" t="s">
        <v>86</v>
      </c>
      <c r="B14" t="s">
        <v>107</v>
      </c>
      <c r="C14" t="str">
        <f>'OKR '!D175</f>
        <v>Definir fluxos de decisão e escalonamento</v>
      </c>
      <c r="D14" t="str">
        <f>'OKR '!E175</f>
        <v>Comitê de Governança</v>
      </c>
      <c r="E14" s="174">
        <f>'OKR '!G175</f>
        <v>46055</v>
      </c>
      <c r="F14" s="174">
        <f>'OKR '!H175</f>
        <v>46112</v>
      </c>
      <c r="G14" s="172">
        <f>F14-E14</f>
        <v>57</v>
      </c>
      <c r="H14" s="203" t="e" cm="1">
        <f t="array" aca="1" ref="H14" ca="1">IF($A14="Eixo: 2 - Formação e Desenvolvimento",$G14,_xludf.NA())</f>
        <v>#NAME?</v>
      </c>
      <c r="I14" s="203" t="e" cm="1">
        <f t="array" aca="1" ref="I14" ca="1">IF($A14="Eixo: 4 - Telessaúde",$G14,_xludf.NA())</f>
        <v>#NAME?</v>
      </c>
      <c r="J14" s="203" cm="1">
        <f t="array" ref="J14">IF($A14="Eixo: 6 - Monitoramento, avaliação e disseminação de informações estratégicas",$G14,_xludf.NA())</f>
        <v>57</v>
      </c>
    </row>
    <row r="15" spans="1:13">
      <c r="A15" t="s">
        <v>86</v>
      </c>
      <c r="B15" t="s">
        <v>107</v>
      </c>
      <c r="C15" t="str">
        <f>'OKR '!D176</f>
        <v>Estabelecer fluxo de comunicação com a regional e o estado</v>
      </c>
      <c r="D15" t="str">
        <f>'OKR '!E176</f>
        <v>Comitê de Governança</v>
      </c>
      <c r="E15" s="174">
        <f>'OKR '!G176</f>
        <v>46055</v>
      </c>
      <c r="F15" s="174">
        <f>'OKR '!H176</f>
        <v>46112</v>
      </c>
      <c r="G15" s="172">
        <f>F15-E15</f>
        <v>57</v>
      </c>
      <c r="H15" s="203" t="e" cm="1">
        <f t="array" aca="1" ref="H15" ca="1">IF($A15="Eixo: 2 - Formação e Desenvolvimento",$G15,_xludf.NA())</f>
        <v>#NAME?</v>
      </c>
      <c r="I15" s="203" t="e" cm="1">
        <f t="array" aca="1" ref="I15" ca="1">IF($A15="Eixo: 4 - Telessaúde",$G15,_xludf.NA())</f>
        <v>#NAME?</v>
      </c>
      <c r="J15" s="203" cm="1">
        <f t="array" ref="J15">IF($A15="Eixo: 6 - Monitoramento, avaliação e disseminação de informações estratégicas",$G15,_xludf.NA())</f>
        <v>57</v>
      </c>
    </row>
    <row r="16" spans="1:13">
      <c r="A16" t="s">
        <v>86</v>
      </c>
      <c r="B16" t="s">
        <v>107</v>
      </c>
      <c r="C16" t="str">
        <f>'OKR '!D177</f>
        <v>Definir instância mínima de decisão (ponto focal ou comitê)</v>
      </c>
      <c r="D16" t="str">
        <f>'OKR '!E177</f>
        <v>Gestores Municipais</v>
      </c>
      <c r="E16" s="174">
        <f>'OKR '!G177</f>
        <v>46055</v>
      </c>
      <c r="F16" s="174">
        <f>'OKR '!H177</f>
        <v>46112</v>
      </c>
      <c r="G16" s="172">
        <f>F16-E16</f>
        <v>57</v>
      </c>
      <c r="H16" s="203" t="e" cm="1">
        <f t="array" aca="1" ref="H16" ca="1">IF($A16="Eixo: 2 - Formação e Desenvolvimento",$G16,_xludf.NA())</f>
        <v>#NAME?</v>
      </c>
      <c r="I16" s="203" t="e" cm="1">
        <f t="array" aca="1" ref="I16" ca="1">IF($A16="Eixo: 4 - Telessaúde",$G16,_xludf.NA())</f>
        <v>#NAME?</v>
      </c>
      <c r="J16" s="203" cm="1">
        <f t="array" ref="J16">IF($A16="Eixo: 6 - Monitoramento, avaliação e disseminação de informações estratégicas",$G16,_xludf.NA())</f>
        <v>57</v>
      </c>
    </row>
    <row r="17" spans="1:10">
      <c r="A17" t="s">
        <v>86</v>
      </c>
      <c r="B17" t="s">
        <v>107</v>
      </c>
      <c r="C17" t="str">
        <f>'OKR '!D178</f>
        <v>Designar responsáveis formais pela governança dos dados</v>
      </c>
      <c r="D17" t="str">
        <f>'OKR '!E178</f>
        <v>Gestores Municipais</v>
      </c>
      <c r="E17" s="174">
        <f>'OKR '!G178</f>
        <v>46055</v>
      </c>
      <c r="F17" s="174">
        <f>'OKR '!H178</f>
        <v>46112</v>
      </c>
      <c r="G17" s="172">
        <f>F17-E17</f>
        <v>57</v>
      </c>
      <c r="H17" s="203" t="e" cm="1">
        <f t="array" aca="1" ref="H17" ca="1">IF($A17="Eixo: 2 - Formação e Desenvolvimento",$G17,_xludf.NA())</f>
        <v>#NAME?</v>
      </c>
      <c r="I17" s="203" t="e" cm="1">
        <f t="array" aca="1" ref="I17" ca="1">IF($A17="Eixo: 4 - Telessaúde",$G17,_xludf.NA())</f>
        <v>#NAME?</v>
      </c>
      <c r="J17" s="203" cm="1">
        <f t="array" ref="J17">IF($A17="Eixo: 6 - Monitoramento, avaliação e disseminação de informações estratégicas",$G17,_xludf.NA())</f>
        <v>57</v>
      </c>
    </row>
    <row r="18" spans="1:10">
      <c r="A18" t="s">
        <v>86</v>
      </c>
      <c r="B18" t="s">
        <v>107</v>
      </c>
      <c r="C18" t="str">
        <f>'OKR '!D179</f>
        <v>Definir regras de acesso e segurança da informação</v>
      </c>
      <c r="D18" t="str">
        <f>'OKR '!E179</f>
        <v>Grupo de trabalho</v>
      </c>
      <c r="E18" s="174">
        <f>'OKR '!G179</f>
        <v>46055</v>
      </c>
      <c r="F18" s="174">
        <f>'OKR '!H179</f>
        <v>46265</v>
      </c>
      <c r="G18" s="172">
        <f>F18-E18</f>
        <v>210</v>
      </c>
      <c r="H18" s="203" t="e" cm="1">
        <f t="array" aca="1" ref="H18" ca="1">IF($A18="Eixo: 2 - Formação e Desenvolvimento",$G18,_xludf.NA())</f>
        <v>#NAME?</v>
      </c>
      <c r="I18" s="203" t="e" cm="1">
        <f t="array" aca="1" ref="I18" ca="1">IF($A18="Eixo: 4 - Telessaúde",$G18,_xludf.NA())</f>
        <v>#NAME?</v>
      </c>
      <c r="J18" s="203" cm="1">
        <f t="array" ref="J18">IF($A18="Eixo: 6 - Monitoramento, avaliação e disseminação de informações estratégicas",$G18,_xludf.NA())</f>
        <v>210</v>
      </c>
    </row>
    <row r="19" spans="1:10">
      <c r="A19" t="s">
        <v>86</v>
      </c>
      <c r="B19" t="s">
        <v>107</v>
      </c>
      <c r="C19" t="str">
        <f>'OKR '!D180</f>
        <v>Alinhar regras à LGPD e às diretrizes estaduais</v>
      </c>
      <c r="D19" t="str">
        <f>'OKR '!E180</f>
        <v>Grupo de trabalho</v>
      </c>
      <c r="E19" s="174">
        <f>'OKR '!G180</f>
        <v>46055</v>
      </c>
      <c r="F19" s="174">
        <f>'OKR '!H180</f>
        <v>46265</v>
      </c>
      <c r="G19" s="172">
        <f>F19-E19</f>
        <v>210</v>
      </c>
      <c r="H19" s="203" t="e" cm="1">
        <f t="array" aca="1" ref="H19" ca="1">IF($A19="Eixo: 2 - Formação e Desenvolvimento",$G19,_xludf.NA())</f>
        <v>#NAME?</v>
      </c>
      <c r="I19" s="203" t="e" cm="1">
        <f t="array" aca="1" ref="I19" ca="1">IF($A19="Eixo: 4 - Telessaúde",$G19,_xludf.NA())</f>
        <v>#NAME?</v>
      </c>
      <c r="J19" s="203" cm="1">
        <f t="array" ref="J19">IF($A19="Eixo: 6 - Monitoramento, avaliação e disseminação de informações estratégicas",$G19,_xludf.NA())</f>
        <v>210</v>
      </c>
    </row>
    <row r="20" spans="1:10">
      <c r="A20" t="s">
        <v>86</v>
      </c>
      <c r="B20" t="s">
        <v>107</v>
      </c>
      <c r="C20" t="str">
        <f>'OKR '!D181</f>
        <v>Definir escopo claro do que será integrado em cada fase</v>
      </c>
      <c r="D20" t="str">
        <f>'OKR '!E181</f>
        <v>Grupo de trabalho</v>
      </c>
      <c r="E20" s="174">
        <f>'OKR '!G181</f>
        <v>46055</v>
      </c>
      <c r="F20" s="174">
        <f>'OKR '!H181</f>
        <v>46265</v>
      </c>
      <c r="G20" s="172">
        <f>F20-E20</f>
        <v>210</v>
      </c>
      <c r="H20" s="203" t="e" cm="1">
        <f t="array" aca="1" ref="H20" ca="1">IF($A20="Eixo: 2 - Formação e Desenvolvimento",$G20,_xludf.NA())</f>
        <v>#NAME?</v>
      </c>
      <c r="I20" s="203" t="e" cm="1">
        <f t="array" aca="1" ref="I20" ca="1">IF($A20="Eixo: 4 - Telessaúde",$G20,_xludf.NA())</f>
        <v>#NAME?</v>
      </c>
      <c r="J20" s="203" cm="1">
        <f t="array" ref="J20">IF($A20="Eixo: 6 - Monitoramento, avaliação e disseminação de informações estratégicas",$G20,_xludf.NA())</f>
        <v>210</v>
      </c>
    </row>
    <row r="21" spans="1:10">
      <c r="A21" t="s">
        <v>86</v>
      </c>
      <c r="B21" t="s">
        <v>107</v>
      </c>
      <c r="C21" t="str">
        <f>'OKR '!D182</f>
        <v>Priorizar padrões conforme sistemas críticos mapeados</v>
      </c>
      <c r="D21" t="str">
        <f>'OKR '!E182</f>
        <v>Grupo de trabalho</v>
      </c>
      <c r="E21" s="174">
        <f>'OKR '!G182</f>
        <v>46055</v>
      </c>
      <c r="F21" s="174">
        <f>'OKR '!H182</f>
        <v>46265</v>
      </c>
      <c r="G21" s="172">
        <f>F21-E21</f>
        <v>210</v>
      </c>
      <c r="H21" s="203" t="e" cm="1">
        <f t="array" aca="1" ref="H21" ca="1">IF($A21="Eixo: 2 - Formação e Desenvolvimento",$G21,_xludf.NA())</f>
        <v>#NAME?</v>
      </c>
      <c r="I21" s="203" t="e" cm="1">
        <f t="array" aca="1" ref="I21" ca="1">IF($A21="Eixo: 4 - Telessaúde",$G21,_xludf.NA())</f>
        <v>#NAME?</v>
      </c>
      <c r="J21" s="203" cm="1">
        <f t="array" ref="J21">IF($A21="Eixo: 6 - Monitoramento, avaliação e disseminação de informações estratégicas",$G21,_xludf.NA())</f>
        <v>210</v>
      </c>
    </row>
    <row r="22" spans="1:10">
      <c r="A22" t="s">
        <v>86</v>
      </c>
      <c r="B22" t="s">
        <v>107</v>
      </c>
      <c r="C22" t="str">
        <f>'OKR '!D183</f>
        <v>Priorizar padrões compatíveis com sistemas já existentes</v>
      </c>
      <c r="D22" t="str">
        <f>'OKR '!E183</f>
        <v>Grupo de trabalho</v>
      </c>
      <c r="E22" s="174">
        <f>'OKR '!G183</f>
        <v>46055</v>
      </c>
      <c r="F22" s="174">
        <f>'OKR '!H183</f>
        <v>46265</v>
      </c>
      <c r="G22" s="172">
        <f>F22-E22</f>
        <v>210</v>
      </c>
      <c r="H22" s="203" t="e" cm="1">
        <f t="array" aca="1" ref="H22" ca="1">IF($A22="Eixo: 2 - Formação e Desenvolvimento",$G22,_xludf.NA())</f>
        <v>#NAME?</v>
      </c>
      <c r="I22" s="203" t="e" cm="1">
        <f t="array" aca="1" ref="I22" ca="1">IF($A22="Eixo: 4 - Telessaúde",$G22,_xludf.NA())</f>
        <v>#NAME?</v>
      </c>
      <c r="J22" s="203" cm="1">
        <f t="array" ref="J22">IF($A22="Eixo: 6 - Monitoramento, avaliação e disseminação de informações estratégicas",$G22,_xludf.NA())</f>
        <v>210</v>
      </c>
    </row>
    <row r="23" spans="1:10">
      <c r="A23" t="s">
        <v>86</v>
      </c>
      <c r="B23" t="s">
        <v>107</v>
      </c>
      <c r="C23" t="str">
        <f>'OKR '!D184</f>
        <v>Estabelecer padrões mínimos de troca de dados</v>
      </c>
      <c r="D23" t="str">
        <f>'OKR '!E184</f>
        <v>Grupo de trabalho</v>
      </c>
      <c r="E23" s="174">
        <f>'OKR '!G184</f>
        <v>46055</v>
      </c>
      <c r="F23" s="174">
        <f>'OKR '!H184</f>
        <v>46265</v>
      </c>
      <c r="G23" s="172">
        <f>F23-E23</f>
        <v>210</v>
      </c>
      <c r="H23" s="203" t="e" cm="1">
        <f t="array" aca="1" ref="H23" ca="1">IF($A23="Eixo: 2 - Formação e Desenvolvimento",$G23,_xludf.NA())</f>
        <v>#NAME?</v>
      </c>
      <c r="I23" s="203" t="e" cm="1">
        <f t="array" aca="1" ref="I23" ca="1">IF($A23="Eixo: 4 - Telessaúde",$G23,_xludf.NA())</f>
        <v>#NAME?</v>
      </c>
      <c r="J23" s="203" cm="1">
        <f t="array" ref="J23">IF($A23="Eixo: 6 - Monitoramento, avaliação e disseminação de informações estratégicas",$G23,_xludf.NA())</f>
        <v>210</v>
      </c>
    </row>
    <row r="24" spans="1:10">
      <c r="A24" t="s">
        <v>86</v>
      </c>
      <c r="B24" t="s">
        <v>107</v>
      </c>
      <c r="C24" t="str">
        <f>'OKR '!D185</f>
        <v>Definir padrões básicos de interoperabilidade conforme orientação estadual</v>
      </c>
      <c r="D24" t="str">
        <f>'OKR '!E185</f>
        <v>Grupo de trabalho, NSDIGI</v>
      </c>
      <c r="E24" s="174">
        <f>'OKR '!G185</f>
        <v>46055</v>
      </c>
      <c r="F24" s="174">
        <f>'OKR '!H185</f>
        <v>46265</v>
      </c>
      <c r="G24" s="172">
        <f>F24-E24</f>
        <v>210</v>
      </c>
      <c r="H24" s="203" t="e" cm="1">
        <f t="array" aca="1" ref="H24" ca="1">IF($A24="Eixo: 2 - Formação e Desenvolvimento",$G24,_xludf.NA())</f>
        <v>#NAME?</v>
      </c>
      <c r="I24" s="203" t="e" cm="1">
        <f t="array" aca="1" ref="I24" ca="1">IF($A24="Eixo: 4 - Telessaúde",$G24,_xludf.NA())</f>
        <v>#NAME?</v>
      </c>
      <c r="J24" s="203" cm="1">
        <f t="array" ref="J24">IF($A24="Eixo: 6 - Monitoramento, avaliação e disseminação de informações estratégicas",$G24,_xludf.NA())</f>
        <v>210</v>
      </c>
    </row>
    <row r="25" spans="1:10">
      <c r="A25" t="str">
        <f>'OKR '!C140</f>
        <v>Eixo: 6 - Monitoramento, avaliação e disseminação de informações estratégicas</v>
      </c>
      <c r="B25" t="str">
        <f>'OKR '!D152</f>
        <v>Diagnosticar e mapear os sistemas de informação</v>
      </c>
      <c r="C25" t="str">
        <f>'OKR '!D155</f>
        <v>Nomear grupo de trabalho da micro</v>
      </c>
      <c r="D25" t="str">
        <f>'OKR '!E155</f>
        <v>Gestores municipais</v>
      </c>
      <c r="E25" s="174">
        <f>'OKR '!G155</f>
        <v>46055</v>
      </c>
      <c r="F25" s="174">
        <f>'OKR '!H155</f>
        <v>46080</v>
      </c>
      <c r="G25" s="172">
        <f>F25-E25</f>
        <v>25</v>
      </c>
      <c r="H25" s="203" t="e" cm="1">
        <f t="array" aca="1" ref="H25" ca="1">IF($A25="Eixo: 2 - Formação e Desenvolvimento",$G25,_xludf.NA())</f>
        <v>#NAME?</v>
      </c>
      <c r="I25" s="203" t="e" cm="1">
        <f t="array" aca="1" ref="I25" ca="1">IF($A25="Eixo: 4 - Telessaúde",$G25,_xludf.NA())</f>
        <v>#NAME?</v>
      </c>
      <c r="J25" s="203" cm="1">
        <f t="array" ref="J25">IF($A25="Eixo: 6 - Monitoramento, avaliação e disseminação de informações estratégicas",$G25,_xludf.NA())</f>
        <v>25</v>
      </c>
    </row>
    <row r="26" spans="1:10">
      <c r="A26" t="s">
        <v>86</v>
      </c>
      <c r="B26" t="s">
        <v>90</v>
      </c>
      <c r="C26" t="str">
        <f>'OKR '!D156</f>
        <v>Mapear os sistemas de informação em uso no município (ex: sistemas assistenciais, administrativos, regulatórios e de vigilância)</v>
      </c>
      <c r="D26" t="str">
        <f>'OKR '!E156</f>
        <v>Ponto de Referência municipal em Saúde Digital, Grupo de trabalho, NSDIGI, Regional e Cosems</v>
      </c>
      <c r="E26" s="174">
        <f>'OKR '!G156</f>
        <v>46055</v>
      </c>
      <c r="F26" s="174">
        <f>'OKR '!H156</f>
        <v>46203</v>
      </c>
      <c r="G26" s="172">
        <f>F26-E26</f>
        <v>148</v>
      </c>
      <c r="H26" s="203" t="e" cm="1">
        <f t="array" aca="1" ref="H26" ca="1">IF($A26="Eixo: 2 - Formação e Desenvolvimento",$G26,_xludf.NA())</f>
        <v>#NAME?</v>
      </c>
      <c r="I26" s="203" t="e" cm="1">
        <f t="array" aca="1" ref="I26" ca="1">IF($A26="Eixo: 4 - Telessaúde",$G26,_xludf.NA())</f>
        <v>#NAME?</v>
      </c>
      <c r="J26" s="203" cm="1">
        <f t="array" ref="J26">IF($A26="Eixo: 6 - Monitoramento, avaliação e disseminação de informações estratégicas",$G26,_xludf.NA())</f>
        <v>148</v>
      </c>
    </row>
    <row r="27" spans="1:10">
      <c r="A27" t="s">
        <v>86</v>
      </c>
      <c r="B27" t="s">
        <v>90</v>
      </c>
      <c r="C27" t="str">
        <f>'OKR '!D157</f>
        <v>Classificar os sistemas por criticidade e função</v>
      </c>
      <c r="D27" t="str">
        <f>'OKR '!E157</f>
        <v>Grupo de trabalho</v>
      </c>
      <c r="E27" s="174">
        <f>'OKR '!G157</f>
        <v>46055</v>
      </c>
      <c r="F27" s="174">
        <f>'OKR '!H157</f>
        <v>46203</v>
      </c>
      <c r="G27" s="172">
        <f>F27-E27</f>
        <v>148</v>
      </c>
      <c r="H27" s="203" t="e" cm="1">
        <f t="array" aca="1" ref="H27" ca="1">IF($A27="Eixo: 2 - Formação e Desenvolvimento",$G27,_xludf.NA())</f>
        <v>#NAME?</v>
      </c>
      <c r="I27" s="203" t="e" cm="1">
        <f t="array" aca="1" ref="I27" ca="1">IF($A27="Eixo: 4 - Telessaúde",$G27,_xludf.NA())</f>
        <v>#NAME?</v>
      </c>
      <c r="J27" s="203" cm="1">
        <f t="array" ref="J27">IF($A27="Eixo: 6 - Monitoramento, avaliação e disseminação de informações estratégicas",$G27,_xludf.NA())</f>
        <v>148</v>
      </c>
    </row>
    <row r="28" spans="1:10">
      <c r="A28" t="s">
        <v>86</v>
      </c>
      <c r="B28" t="s">
        <v>90</v>
      </c>
      <c r="C28" t="str">
        <f>'OKR '!D158</f>
        <v>Identificar sistemas essenciais para continuidade do cuidado</v>
      </c>
      <c r="D28" t="str">
        <f>'OKR '!E158</f>
        <v>Grupo de trabalho</v>
      </c>
      <c r="E28" s="174">
        <f>'OKR '!G158</f>
        <v>46055</v>
      </c>
      <c r="F28" s="174">
        <f>'OKR '!H158</f>
        <v>46203</v>
      </c>
      <c r="G28" s="172">
        <f>F28-E28</f>
        <v>148</v>
      </c>
      <c r="H28" s="203" t="e" cm="1">
        <f t="array" aca="1" ref="H28" ca="1">IF($A28="Eixo: 2 - Formação e Desenvolvimento",$G28,_xludf.NA())</f>
        <v>#NAME?</v>
      </c>
      <c r="I28" s="203" t="e" cm="1">
        <f t="array" aca="1" ref="I28" ca="1">IF($A28="Eixo: 4 - Telessaúde",$G28,_xludf.NA())</f>
        <v>#NAME?</v>
      </c>
      <c r="J28" s="203" cm="1">
        <f t="array" ref="J28">IF($A28="Eixo: 6 - Monitoramento, avaliação e disseminação de informações estratégicas",$G28,_xludf.NA())</f>
        <v>148</v>
      </c>
    </row>
    <row r="29" spans="1:10">
      <c r="A29" t="s">
        <v>86</v>
      </c>
      <c r="B29" t="s">
        <v>90</v>
      </c>
      <c r="C29" t="str">
        <f>'OKR '!D159</f>
        <v>Diferenciar sistemas estruturantes de sistemas acessórios</v>
      </c>
      <c r="D29" t="str">
        <f>'OKR '!E159</f>
        <v>Grupo de trabalho</v>
      </c>
      <c r="E29" s="174">
        <f>'OKR '!G159</f>
        <v>46055</v>
      </c>
      <c r="F29" s="174">
        <f>'OKR '!H159</f>
        <v>46203</v>
      </c>
      <c r="G29" s="172">
        <f>F29-E29</f>
        <v>148</v>
      </c>
      <c r="H29" s="203" t="e" cm="1">
        <f t="array" aca="1" ref="H29" ca="1">IF($A29="Eixo: 2 - Formação e Desenvolvimento",$G29,_xludf.NA())</f>
        <v>#NAME?</v>
      </c>
      <c r="I29" s="203" t="e" cm="1">
        <f t="array" aca="1" ref="I29" ca="1">IF($A29="Eixo: 4 - Telessaúde",$G29,_xludf.NA())</f>
        <v>#NAME?</v>
      </c>
      <c r="J29" s="203" cm="1">
        <f t="array" ref="J29">IF($A29="Eixo: 6 - Monitoramento, avaliação e disseminação de informações estratégicas",$G29,_xludf.NA())</f>
        <v>148</v>
      </c>
    </row>
    <row r="30" spans="1:10">
      <c r="A30" t="s">
        <v>48</v>
      </c>
      <c r="B30" t="s">
        <v>73</v>
      </c>
      <c r="C30" t="str">
        <f>'OKR '!D128</f>
        <v>Elaborar campanha de sensibilização</v>
      </c>
      <c r="D30" t="str">
        <f>'OKR '!E128</f>
        <v>Equipe Microrregional, SES (Equipe da Telessaúde + NSDIGI), Núcleos de telessaúde</v>
      </c>
      <c r="E30" s="174">
        <f>'OKR '!G128</f>
        <v>46082</v>
      </c>
      <c r="F30" s="174">
        <f>'OKR '!H128</f>
        <v>46142</v>
      </c>
      <c r="G30" s="172">
        <f>F30-E30</f>
        <v>60</v>
      </c>
      <c r="H30" s="203" t="e" cm="1">
        <f t="array" aca="1" ref="H30" ca="1">IF($A30="Eixo: 2 - Formação e Desenvolvimento",$G30,_xludf.NA())</f>
        <v>#NAME?</v>
      </c>
      <c r="I30" s="203" cm="1">
        <f t="array" ref="I30">IF($A30="Eixo: 4 - Telessaúde",$G30,_xludf.NA())</f>
        <v>60</v>
      </c>
      <c r="J30" s="203" t="e" cm="1">
        <f t="array" aca="1" ref="J30" ca="1">IF($A30="Eixo: 6 - Monitoramento, avaliação e disseminação de informações estratégicas",$G30,_xludf.NA())</f>
        <v>#NAME?</v>
      </c>
    </row>
    <row r="31" spans="1:10">
      <c r="A31" t="s">
        <v>48</v>
      </c>
      <c r="B31" t="s">
        <v>73</v>
      </c>
      <c r="C31" t="str">
        <f>'OKR '!D129</f>
        <v>Definir percentual mínimo de membros das equipes habilitados</v>
      </c>
      <c r="D31" t="str">
        <f>'OKR '!E129</f>
        <v>Equipe Microrregional</v>
      </c>
      <c r="E31" s="174">
        <f>'OKR '!G129</f>
        <v>46082</v>
      </c>
      <c r="F31" s="174">
        <f>'OKR '!H129</f>
        <v>46142</v>
      </c>
      <c r="G31" s="172">
        <f>F31-E31</f>
        <v>60</v>
      </c>
      <c r="H31" s="203" t="e" cm="1">
        <f t="array" aca="1" ref="H31" ca="1">IF($A31="Eixo: 2 - Formação e Desenvolvimento",$G31,_xludf.NA())</f>
        <v>#NAME?</v>
      </c>
      <c r="I31" s="203" cm="1">
        <f t="array" ref="I31">IF($A31="Eixo: 4 - Telessaúde",$G31,_xludf.NA())</f>
        <v>60</v>
      </c>
      <c r="J31" s="203" t="e" cm="1">
        <f t="array" aca="1" ref="J31" ca="1">IF($A31="Eixo: 6 - Monitoramento, avaliação e disseminação de informações estratégicas",$G31,_xludf.NA())</f>
        <v>#NAME?</v>
      </c>
    </row>
    <row r="32" spans="1:10" ht="45.75">
      <c r="A32" s="169" t="s">
        <v>2</v>
      </c>
      <c r="B32" s="169" t="s">
        <v>10</v>
      </c>
      <c r="C32" s="169" t="s">
        <v>22</v>
      </c>
      <c r="D32" s="169" t="s">
        <v>21</v>
      </c>
      <c r="E32" s="170">
        <v>46083</v>
      </c>
      <c r="F32" s="170">
        <v>46112</v>
      </c>
      <c r="G32" s="172">
        <f>F32-E32</f>
        <v>29</v>
      </c>
      <c r="H32" s="203" cm="1">
        <f t="array" ref="H32">IF($A32="Eixo: 2 - Formação e Desenvolvimento",$G32,_xludf.NA())</f>
        <v>29</v>
      </c>
      <c r="I32" s="203" t="e" cm="1">
        <f t="array" aca="1" ref="I32" ca="1">IF($A32="Eixo: 4 - Telessaúde",$G32,_xludf.NA())</f>
        <v>#NAME?</v>
      </c>
      <c r="J32" s="203" t="e" cm="1">
        <f t="array" aca="1" ref="J32" ca="1">IF($A32="Eixo: 6 - Monitoramento, avaliação e disseminação de informações estratégicas",$G32,_xludf.NA())</f>
        <v>#NAME?</v>
      </c>
    </row>
    <row r="33" spans="1:10" ht="45.75">
      <c r="A33" s="169" t="s">
        <v>2</v>
      </c>
      <c r="B33" s="169" t="s">
        <v>10</v>
      </c>
      <c r="C33" s="169" t="s">
        <v>23</v>
      </c>
      <c r="D33" s="169" t="s">
        <v>24</v>
      </c>
      <c r="E33" s="170">
        <v>46083</v>
      </c>
      <c r="F33" s="170">
        <v>46142</v>
      </c>
      <c r="G33" s="172">
        <f>F33-E33</f>
        <v>59</v>
      </c>
      <c r="H33" s="203" cm="1">
        <f t="array" ref="H33">IF($A33="Eixo: 2 - Formação e Desenvolvimento",$G33,_xludf.NA())</f>
        <v>59</v>
      </c>
      <c r="I33" s="203" t="e" cm="1">
        <f t="array" aca="1" ref="I33" ca="1">IF($A33="Eixo: 4 - Telessaúde",$G33,_xludf.NA())</f>
        <v>#NAME?</v>
      </c>
      <c r="J33" s="203" t="e" cm="1">
        <f t="array" aca="1" ref="J33" ca="1">IF($A33="Eixo: 6 - Monitoramento, avaliação e disseminação de informações estratégicas",$G33,_xludf.NA())</f>
        <v>#NAME?</v>
      </c>
    </row>
    <row r="34" spans="1:10" ht="30.75">
      <c r="A34" s="169" t="s">
        <v>2</v>
      </c>
      <c r="B34" s="169" t="s">
        <v>26</v>
      </c>
      <c r="C34" s="169" t="s">
        <v>33</v>
      </c>
      <c r="D34" s="169" t="s">
        <v>29</v>
      </c>
      <c r="E34" s="170">
        <v>46113</v>
      </c>
      <c r="F34" s="170">
        <v>46173</v>
      </c>
      <c r="G34" s="172">
        <f>F34-E34</f>
        <v>60</v>
      </c>
      <c r="H34" s="203" cm="1">
        <f t="array" ref="H34">IF($A34="Eixo: 2 - Formação e Desenvolvimento",$G34,_xludf.NA())</f>
        <v>60</v>
      </c>
      <c r="I34" s="203" t="e" cm="1">
        <f t="array" aca="1" ref="I34" ca="1">IF($A34="Eixo: 4 - Telessaúde",$G34,_xludf.NA())</f>
        <v>#NAME?</v>
      </c>
      <c r="J34" s="203" t="e" cm="1">
        <f t="array" aca="1" ref="J34" ca="1">IF($A34="Eixo: 6 - Monitoramento, avaliação e disseminação de informações estratégicas",$G34,_xludf.NA())</f>
        <v>#NAME?</v>
      </c>
    </row>
    <row r="35" spans="1:10" ht="30.75">
      <c r="A35" s="169" t="s">
        <v>2</v>
      </c>
      <c r="B35" s="169" t="s">
        <v>26</v>
      </c>
      <c r="C35" s="169" t="s">
        <v>36</v>
      </c>
      <c r="D35" s="169" t="s">
        <v>29</v>
      </c>
      <c r="E35" s="170">
        <v>46113</v>
      </c>
      <c r="F35" s="170">
        <v>46203</v>
      </c>
      <c r="G35" s="172">
        <f>F35-E35</f>
        <v>90</v>
      </c>
      <c r="H35" s="203" cm="1">
        <f t="array" ref="H35">IF($A35="Eixo: 2 - Formação e Desenvolvimento",$G35,_xludf.NA())</f>
        <v>90</v>
      </c>
      <c r="I35" s="203" t="e" cm="1">
        <f t="array" aca="1" ref="I35" ca="1">IF($A35="Eixo: 4 - Telessaúde",$G35,_xludf.NA())</f>
        <v>#NAME?</v>
      </c>
      <c r="J35" s="203" t="e" cm="1">
        <f t="array" aca="1" ref="J35" ca="1">IF($A35="Eixo: 6 - Monitoramento, avaliação e disseminação de informações estratégicas",$G35,_xludf.NA())</f>
        <v>#NAME?</v>
      </c>
    </row>
    <row r="36" spans="1:10" ht="30.75">
      <c r="A36" s="169" t="s">
        <v>2</v>
      </c>
      <c r="B36" s="169" t="s">
        <v>26</v>
      </c>
      <c r="C36" s="169" t="s">
        <v>37</v>
      </c>
      <c r="D36" s="169" t="s">
        <v>29</v>
      </c>
      <c r="E36" s="170">
        <v>46113</v>
      </c>
      <c r="F36" s="170">
        <v>46387</v>
      </c>
      <c r="G36" s="172">
        <f>F36-E36</f>
        <v>274</v>
      </c>
      <c r="H36" s="203" cm="1">
        <f t="array" ref="H36">IF($A36="Eixo: 2 - Formação e Desenvolvimento",$G36,_xludf.NA())</f>
        <v>274</v>
      </c>
      <c r="I36" s="203" t="e" cm="1">
        <f t="array" aca="1" ref="I36" ca="1">IF($A36="Eixo: 4 - Telessaúde",$G36,_xludf.NA())</f>
        <v>#NAME?</v>
      </c>
      <c r="J36" s="203" t="e" cm="1">
        <f t="array" aca="1" ref="J36" ca="1">IF($A36="Eixo: 6 - Monitoramento, avaliação e disseminação de informações estratégicas",$G36,_xludf.NA())</f>
        <v>#NAME?</v>
      </c>
    </row>
    <row r="37" spans="1:10" ht="30.75">
      <c r="A37" s="169" t="s">
        <v>2</v>
      </c>
      <c r="B37" s="169" t="s">
        <v>26</v>
      </c>
      <c r="C37" s="169" t="s">
        <v>34</v>
      </c>
      <c r="D37" s="169" t="s">
        <v>29</v>
      </c>
      <c r="E37" s="170">
        <v>46113</v>
      </c>
      <c r="F37" s="170">
        <v>46173</v>
      </c>
      <c r="G37" s="172">
        <f>F37-E37</f>
        <v>60</v>
      </c>
      <c r="H37" s="203" cm="1">
        <f t="array" ref="H37">IF($A37="Eixo: 2 - Formação e Desenvolvimento",$G37,_xludf.NA())</f>
        <v>60</v>
      </c>
      <c r="I37" s="203" t="e" cm="1">
        <f t="array" aca="1" ref="I37" ca="1">IF($A37="Eixo: 4 - Telessaúde",$G37,_xludf.NA())</f>
        <v>#NAME?</v>
      </c>
      <c r="J37" s="203" t="e" cm="1">
        <f t="array" aca="1" ref="J37" ca="1">IF($A37="Eixo: 6 - Monitoramento, avaliação e disseminação de informações estratégicas",$G37,_xludf.NA())</f>
        <v>#NAME?</v>
      </c>
    </row>
    <row r="38" spans="1:10" ht="30.75">
      <c r="A38" s="169" t="s">
        <v>2</v>
      </c>
      <c r="B38" s="169" t="s">
        <v>26</v>
      </c>
      <c r="C38" s="169" t="s">
        <v>35</v>
      </c>
      <c r="D38" s="169" t="s">
        <v>29</v>
      </c>
      <c r="E38" s="170">
        <v>46113</v>
      </c>
      <c r="F38" s="170">
        <v>46173</v>
      </c>
      <c r="G38" s="172">
        <f>F38-E38</f>
        <v>60</v>
      </c>
      <c r="H38" s="203" cm="1">
        <f t="array" ref="H38">IF($A38="Eixo: 2 - Formação e Desenvolvimento",$G38,_xludf.NA())</f>
        <v>60</v>
      </c>
      <c r="I38" s="203" t="e" cm="1">
        <f t="array" aca="1" ref="I38" ca="1">IF($A38="Eixo: 4 - Telessaúde",$G38,_xludf.NA())</f>
        <v>#NAME?</v>
      </c>
      <c r="J38" s="203" t="e" cm="1">
        <f t="array" aca="1" ref="J38" ca="1">IF($A38="Eixo: 6 - Monitoramento, avaliação e disseminação de informações estratégicas",$G38,_xludf.NA())</f>
        <v>#NAME?</v>
      </c>
    </row>
    <row r="39" spans="1:10" ht="30.75">
      <c r="A39" s="169" t="s">
        <v>2</v>
      </c>
      <c r="B39" s="169" t="str">
        <f>'OKR '!D56</f>
        <v>Realizar 1º ciclo completo de formações</v>
      </c>
      <c r="C39" s="169" t="str">
        <f>'OKR '!D59</f>
        <v>Realizar campanha de sensibilização e mobilização para formações</v>
      </c>
      <c r="D39" s="169" t="str">
        <f>'OKR '!E59</f>
        <v>Grupo de Trabalho; Regional;  Gestores Municipais</v>
      </c>
      <c r="E39" s="170">
        <f>'OKR '!G59</f>
        <v>46113</v>
      </c>
      <c r="F39" s="170">
        <f>'OKR '!H59</f>
        <v>46173</v>
      </c>
      <c r="G39" s="172">
        <f>F39-E39</f>
        <v>60</v>
      </c>
      <c r="H39" s="203" cm="1">
        <f t="array" ref="H39">IF($A39="Eixo: 2 - Formação e Desenvolvimento",$G39,_xludf.NA())</f>
        <v>60</v>
      </c>
      <c r="I39" s="203" t="e" cm="1">
        <f t="array" aca="1" ref="I39" ca="1">IF($A39="Eixo: 4 - Telessaúde",$G39,_xludf.NA())</f>
        <v>#NAME?</v>
      </c>
      <c r="J39" s="203" t="e" cm="1">
        <f t="array" aca="1" ref="J39" ca="1">IF($A39="Eixo: 6 - Monitoramento, avaliação e disseminação de informações estratégicas",$G39,_xludf.NA())</f>
        <v>#NAME?</v>
      </c>
    </row>
    <row r="40" spans="1:10">
      <c r="A40" t="s">
        <v>48</v>
      </c>
      <c r="B40" t="s">
        <v>73</v>
      </c>
      <c r="C40" t="str">
        <f>'OKR '!D130</f>
        <v>Preparar material de formação</v>
      </c>
      <c r="D40" t="str">
        <f>'OKR '!E130</f>
        <v>Equipe Microrregional, SES (Equipe da Telessaúde + NSDIGI), Núcleos de telessaúde</v>
      </c>
      <c r="E40" s="174">
        <f>'OKR '!G130</f>
        <v>46113</v>
      </c>
      <c r="F40" s="174">
        <f>'OKR '!H130</f>
        <v>46234</v>
      </c>
      <c r="G40" s="172">
        <f>F40-E40</f>
        <v>121</v>
      </c>
      <c r="H40" s="203" t="e" cm="1">
        <f t="array" aca="1" ref="H40" ca="1">IF($A40="Eixo: 2 - Formação e Desenvolvimento",$G40,_xludf.NA())</f>
        <v>#NAME?</v>
      </c>
      <c r="I40" s="203" cm="1">
        <f t="array" ref="I40">IF($A40="Eixo: 4 - Telessaúde",$G40,_xludf.NA())</f>
        <v>121</v>
      </c>
      <c r="J40" s="203" t="e" cm="1">
        <f t="array" aca="1" ref="J40" ca="1">IF($A40="Eixo: 6 - Monitoramento, avaliação e disseminação de informações estratégicas",$G40,_xludf.NA())</f>
        <v>#NAME?</v>
      </c>
    </row>
    <row r="41" spans="1:10">
      <c r="A41" t="s">
        <v>48</v>
      </c>
      <c r="B41" t="s">
        <v>73</v>
      </c>
      <c r="C41" t="str">
        <f>'OKR '!D131</f>
        <v>Criar formação básica em telessaúde</v>
      </c>
      <c r="D41" t="str">
        <f>'OKR '!E131</f>
        <v>Equipe Microrregional, SES (Equipe da Telessaúde + NSDIGI), Núcleos de telessaúde</v>
      </c>
      <c r="E41" s="174">
        <f>'OKR '!G131</f>
        <v>46113</v>
      </c>
      <c r="F41" s="174">
        <f>'OKR '!H131</f>
        <v>46234</v>
      </c>
      <c r="G41" s="172">
        <f>F41-E41</f>
        <v>121</v>
      </c>
      <c r="H41" s="203" t="e" cm="1">
        <f t="array" aca="1" ref="H41" ca="1">IF($A41="Eixo: 2 - Formação e Desenvolvimento",$G41,_xludf.NA())</f>
        <v>#NAME?</v>
      </c>
      <c r="I41" s="203" cm="1">
        <f t="array" ref="I41">IF($A41="Eixo: 4 - Telessaúde",$G41,_xludf.NA())</f>
        <v>121</v>
      </c>
      <c r="J41" s="203" t="e" cm="1">
        <f t="array" aca="1" ref="J41" ca="1">IF($A41="Eixo: 6 - Monitoramento, avaliação e disseminação de informações estratégicas",$G41,_xludf.NA())</f>
        <v>#NAME?</v>
      </c>
    </row>
    <row r="42" spans="1:10">
      <c r="A42" t="s">
        <v>48</v>
      </c>
      <c r="B42" t="s">
        <v>52</v>
      </c>
      <c r="C42" t="str">
        <f>'OKR '!D90</f>
        <v>Elaborar fluxos para utilização da teleconsultoria</v>
      </c>
      <c r="D42" t="str">
        <f>'OKR '!E90</f>
        <v>Equipe Microrregional</v>
      </c>
      <c r="E42" s="174">
        <f>'OKR '!G90</f>
        <v>46113</v>
      </c>
      <c r="F42" s="174">
        <f>'OKR '!H90</f>
        <v>46173</v>
      </c>
      <c r="G42" s="172">
        <f>F42-E42</f>
        <v>60</v>
      </c>
      <c r="H42" s="203" t="e" cm="1">
        <f t="array" aca="1" ref="H42" ca="1">IF($A42="Eixo: 2 - Formação e Desenvolvimento",$G42,_xludf.NA())</f>
        <v>#NAME?</v>
      </c>
      <c r="I42" s="203" cm="1">
        <f t="array" ref="I42">IF($A42="Eixo: 4 - Telessaúde",$G42,_xludf.NA())</f>
        <v>60</v>
      </c>
      <c r="J42" s="203" t="e" cm="1">
        <f t="array" aca="1" ref="J42" ca="1">IF($A42="Eixo: 6 - Monitoramento, avaliação e disseminação de informações estratégicas",$G42,_xludf.NA())</f>
        <v>#NAME?</v>
      </c>
    </row>
    <row r="43" spans="1:10">
      <c r="A43" t="s">
        <v>48</v>
      </c>
      <c r="B43" t="s">
        <v>52</v>
      </c>
      <c r="C43" t="str">
        <f>'OKR '!D91</f>
        <v>Definir parâmetros mínimos de utilização</v>
      </c>
      <c r="D43" t="str">
        <f>'OKR '!E91</f>
        <v>Equipe Microrregional, SES (Equipe da Telessaúde + NSDIGI), Núcleos de telessaúde</v>
      </c>
      <c r="E43" s="174">
        <f>'OKR '!G91</f>
        <v>46113</v>
      </c>
      <c r="F43" s="174">
        <f>'OKR '!H91</f>
        <v>46173</v>
      </c>
      <c r="G43" s="172">
        <f>F43-E43</f>
        <v>60</v>
      </c>
      <c r="H43" s="203" t="e" cm="1">
        <f t="array" aca="1" ref="H43" ca="1">IF($A43="Eixo: 2 - Formação e Desenvolvimento",$G43,_xludf.NA())</f>
        <v>#NAME?</v>
      </c>
      <c r="I43" s="203" cm="1">
        <f t="array" ref="I43">IF($A43="Eixo: 4 - Telessaúde",$G43,_xludf.NA())</f>
        <v>60</v>
      </c>
      <c r="J43" s="203" t="e" cm="1">
        <f t="array" aca="1" ref="J43" ca="1">IF($A43="Eixo: 6 - Monitoramento, avaliação e disseminação de informações estratégicas",$G43,_xludf.NA())</f>
        <v>#NAME?</v>
      </c>
    </row>
    <row r="44" spans="1:10">
      <c r="A44" t="s">
        <v>48</v>
      </c>
      <c r="B44" t="s">
        <v>52</v>
      </c>
      <c r="C44" t="str">
        <f>'OKR '!D92</f>
        <v>Definir indicadores de sucesso</v>
      </c>
      <c r="D44" t="str">
        <f>'OKR '!E92</f>
        <v>Equipe Microrregional, SES (Equipe da Telessaúde + NSDIGI), Núcleos de telessaúde</v>
      </c>
      <c r="E44" s="174">
        <f>'OKR '!G92</f>
        <v>46113</v>
      </c>
      <c r="F44" s="174">
        <f>'OKR '!H92</f>
        <v>46173</v>
      </c>
      <c r="G44" s="172">
        <f>F44-E44</f>
        <v>60</v>
      </c>
      <c r="H44" s="203" t="e" cm="1">
        <f t="array" aca="1" ref="H44" ca="1">IF($A44="Eixo: 2 - Formação e Desenvolvimento",$G44,_xludf.NA())</f>
        <v>#NAME?</v>
      </c>
      <c r="I44" s="203" cm="1">
        <f t="array" ref="I44">IF($A44="Eixo: 4 - Telessaúde",$G44,_xludf.NA())</f>
        <v>60</v>
      </c>
      <c r="J44" s="203" t="e" cm="1">
        <f t="array" aca="1" ref="J44" ca="1">IF($A44="Eixo: 6 - Monitoramento, avaliação e disseminação de informações estratégicas",$G44,_xludf.NA())</f>
        <v>#NAME?</v>
      </c>
    </row>
    <row r="45" spans="1:10">
      <c r="A45" t="s">
        <v>48</v>
      </c>
      <c r="B45" t="s">
        <v>52</v>
      </c>
      <c r="C45" t="str">
        <f>'OKR '!D93</f>
        <v>Elaborar a estratégia microrregional alinhada com as diretrizes estaduais</v>
      </c>
      <c r="D45" t="str">
        <f>'OKR '!E93</f>
        <v>Equipe Microrregional</v>
      </c>
      <c r="E45" s="174">
        <f>'OKR '!G93</f>
        <v>46113</v>
      </c>
      <c r="F45" s="174">
        <f>'OKR '!H93</f>
        <v>46234</v>
      </c>
      <c r="G45" s="172">
        <f>F45-E45</f>
        <v>121</v>
      </c>
      <c r="H45" s="203" t="e" cm="1">
        <f t="array" aca="1" ref="H45" ca="1">IF($A45="Eixo: 2 - Formação e Desenvolvimento",$G45,_xludf.NA())</f>
        <v>#NAME?</v>
      </c>
      <c r="I45" s="203" cm="1">
        <f t="array" ref="I45">IF($A45="Eixo: 4 - Telessaúde",$G45,_xludf.NA())</f>
        <v>121</v>
      </c>
      <c r="J45" s="203" t="e" cm="1">
        <f t="array" aca="1" ref="J45" ca="1">IF($A45="Eixo: 6 - Monitoramento, avaliação e disseminação de informações estratégicas",$G45,_xludf.NA())</f>
        <v>#NAME?</v>
      </c>
    </row>
    <row r="46" spans="1:10">
      <c r="A46" t="s">
        <v>48</v>
      </c>
      <c r="B46" t="str">
        <f>'OKR '!D104</f>
        <v>Realizar diagnóstico microrregional sobre uso de telessaúde</v>
      </c>
      <c r="C46" t="str">
        <f>'OKR '!D107</f>
        <v>Apresentar informações sobre a situação de uso da teleconsultoria na microrregião</v>
      </c>
      <c r="D46" t="str">
        <f>'OKR '!E107</f>
        <v>Equipe Microrregional, SES (Equipe da Telessaúde + NSDIGI)</v>
      </c>
      <c r="E46" s="174">
        <f>'OKR '!G107</f>
        <v>46113</v>
      </c>
      <c r="F46" s="174">
        <f>'OKR '!H107</f>
        <v>46142</v>
      </c>
      <c r="G46" s="172">
        <f>F46-E46</f>
        <v>29</v>
      </c>
      <c r="H46" s="203" t="e" cm="1">
        <f t="array" aca="1" ref="H46" ca="1">IF($A46="Eixo: 2 - Formação e Desenvolvimento",$G46,_xludf.NA())</f>
        <v>#NAME?</v>
      </c>
      <c r="I46" s="203" cm="1">
        <f t="array" ref="I46">IF($A46="Eixo: 4 - Telessaúde",$G46,_xludf.NA())</f>
        <v>29</v>
      </c>
      <c r="J46" s="203" t="e" cm="1">
        <f t="array" aca="1" ref="J46" ca="1">IF($A46="Eixo: 6 - Monitoramento, avaliação e disseminação de informações estratégicas",$G46,_xludf.NA())</f>
        <v>#NAME?</v>
      </c>
    </row>
    <row r="47" spans="1:10">
      <c r="A47" t="s">
        <v>48</v>
      </c>
      <c r="B47" t="s">
        <v>64</v>
      </c>
      <c r="C47" t="str">
        <f>'OKR '!D108</f>
        <v>Fazer diagnóstico técnico da infraestrutura</v>
      </c>
      <c r="D47" t="str">
        <f>'OKR '!E108</f>
        <v>Equipe Microrregional, SES (Equipe da Telessaúde + NSDIGI)</v>
      </c>
      <c r="E47" s="174">
        <f>'OKR '!G108</f>
        <v>46113</v>
      </c>
      <c r="F47" s="174">
        <f>'OKR '!H108</f>
        <v>46234</v>
      </c>
      <c r="G47" s="172">
        <f>F47-E47</f>
        <v>121</v>
      </c>
      <c r="H47" s="203" t="e" cm="1">
        <f t="array" aca="1" ref="H47" ca="1">IF($A47="Eixo: 2 - Formação e Desenvolvimento",$G47,_xludf.NA())</f>
        <v>#NAME?</v>
      </c>
      <c r="I47" s="203" cm="1">
        <f t="array" ref="I47">IF($A47="Eixo: 4 - Telessaúde",$G47,_xludf.NA())</f>
        <v>121</v>
      </c>
      <c r="J47" s="203" t="e" cm="1">
        <f t="array" aca="1" ref="J47" ca="1">IF($A47="Eixo: 6 - Monitoramento, avaliação e disseminação de informações estratégicas",$G47,_xludf.NA())</f>
        <v>#NAME?</v>
      </c>
    </row>
    <row r="48" spans="1:10">
      <c r="A48" t="s">
        <v>48</v>
      </c>
      <c r="B48" t="s">
        <v>64</v>
      </c>
      <c r="C48" t="str">
        <f>'OKR '!D109</f>
        <v>Levantar gargalos técnicos referentes à implantação</v>
      </c>
      <c r="D48" t="str">
        <f>'OKR '!E109</f>
        <v>Equipe Microrregional, SES (Equipe da Telessaúde + NSDIGI)</v>
      </c>
      <c r="E48" s="174">
        <f>'OKR '!G109</f>
        <v>46113</v>
      </c>
      <c r="F48" s="174">
        <f>'OKR '!H109</f>
        <v>46234</v>
      </c>
      <c r="G48" s="172">
        <f>F48-E48</f>
        <v>121</v>
      </c>
      <c r="H48" s="203" t="e" cm="1">
        <f t="array" aca="1" ref="H48" ca="1">IF($A48="Eixo: 2 - Formação e Desenvolvimento",$G48,_xludf.NA())</f>
        <v>#NAME?</v>
      </c>
      <c r="I48" s="203" cm="1">
        <f t="array" ref="I48">IF($A48="Eixo: 4 - Telessaúde",$G48,_xludf.NA())</f>
        <v>121</v>
      </c>
      <c r="J48" s="203" t="e" cm="1">
        <f t="array" aca="1" ref="J48" ca="1">IF($A48="Eixo: 6 - Monitoramento, avaliação e disseminação de informações estratégicas",$G48,_xludf.NA())</f>
        <v>#NAME?</v>
      </c>
    </row>
    <row r="49" spans="1:10">
      <c r="A49" t="s">
        <v>48</v>
      </c>
      <c r="B49" t="s">
        <v>64</v>
      </c>
      <c r="C49" t="str">
        <f>'OKR '!D110</f>
        <v>Levantar as necessidades assistenciais relacionadas à Telessaúde</v>
      </c>
      <c r="D49" t="str">
        <f>'OKR '!E110</f>
        <v>Equipe Microrregional, SES (Equipe da Telessaúde + NSDIGI)</v>
      </c>
      <c r="E49" s="174">
        <f>'OKR '!G110</f>
        <v>46113</v>
      </c>
      <c r="F49" s="174">
        <f>'OKR '!H110</f>
        <v>46234</v>
      </c>
      <c r="G49" s="172">
        <f>F49-E49</f>
        <v>121</v>
      </c>
      <c r="H49" s="203" t="e" cm="1">
        <f t="array" aca="1" ref="H49" ca="1">IF($A49="Eixo: 2 - Formação e Desenvolvimento",$G49,_xludf.NA())</f>
        <v>#NAME?</v>
      </c>
      <c r="I49" s="203" cm="1">
        <f t="array" ref="I49">IF($A49="Eixo: 4 - Telessaúde",$G49,_xludf.NA())</f>
        <v>121</v>
      </c>
      <c r="J49" s="203" t="e" cm="1">
        <f t="array" aca="1" ref="J49" ca="1">IF($A49="Eixo: 6 - Monitoramento, avaliação e disseminação de informações estratégicas",$G49,_xludf.NA())</f>
        <v>#NAME?</v>
      </c>
    </row>
    <row r="50" spans="1:10">
      <c r="A50" t="s">
        <v>48</v>
      </c>
      <c r="B50" t="s">
        <v>64</v>
      </c>
      <c r="C50" t="str">
        <f>'OKR '!D111</f>
        <v>Identificar a disponibilidade orçamentária para uso da Telessaúde</v>
      </c>
      <c r="D50" t="str">
        <f>'OKR '!E111</f>
        <v>Equipe Microrregional</v>
      </c>
      <c r="E50" s="174">
        <f>'OKR '!G111</f>
        <v>46113</v>
      </c>
      <c r="F50" s="174">
        <f>'OKR '!H111</f>
        <v>46234</v>
      </c>
      <c r="G50" s="172">
        <f>F50-E50</f>
        <v>121</v>
      </c>
      <c r="H50" s="203" t="e" cm="1">
        <f t="array" aca="1" ref="H50" ca="1">IF($A50="Eixo: 2 - Formação e Desenvolvimento",$G50,_xludf.NA())</f>
        <v>#NAME?</v>
      </c>
      <c r="I50" s="203" cm="1">
        <f t="array" ref="I50">IF($A50="Eixo: 4 - Telessaúde",$G50,_xludf.NA())</f>
        <v>121</v>
      </c>
      <c r="J50" s="203" t="e" cm="1">
        <f t="array" aca="1" ref="J50" ca="1">IF($A50="Eixo: 6 - Monitoramento, avaliação e disseminação de informações estratégicas",$G50,_xludf.NA())</f>
        <v>#NAME?</v>
      </c>
    </row>
    <row r="51" spans="1:10">
      <c r="A51" t="s">
        <v>86</v>
      </c>
      <c r="B51" t="str">
        <f>'OKR '!D189</f>
        <v>Capacitar e fortalecer o uso da informação</v>
      </c>
      <c r="C51" t="str">
        <f>'OKR '!D192</f>
        <v>Definir público estratégico para capacitação</v>
      </c>
      <c r="D51" t="str">
        <f>'OKR '!E192</f>
        <v>Comitê de Governança</v>
      </c>
      <c r="E51" s="174">
        <f>'OKR '!G192</f>
        <v>46113</v>
      </c>
      <c r="F51" s="174">
        <f>'OKR '!H192</f>
        <v>46142</v>
      </c>
      <c r="G51" s="172">
        <f>F51-E51</f>
        <v>29</v>
      </c>
      <c r="H51" s="203" t="e" cm="1">
        <f t="array" aca="1" ref="H51" ca="1">IF($A51="Eixo: 2 - Formação e Desenvolvimento",$G51,_xludf.NA())</f>
        <v>#NAME?</v>
      </c>
      <c r="I51" s="203" t="e" cm="1">
        <f t="array" aca="1" ref="I51" ca="1">IF($A51="Eixo: 4 - Telessaúde",$G51,_xludf.NA())</f>
        <v>#NAME?</v>
      </c>
      <c r="J51" s="203" cm="1">
        <f t="array" ref="J51">IF($A51="Eixo: 6 - Monitoramento, avaliação e disseminação de informações estratégicas",$G51,_xludf.NA())</f>
        <v>29</v>
      </c>
    </row>
    <row r="52" spans="1:10">
      <c r="A52" t="s">
        <v>86</v>
      </c>
      <c r="B52" t="s">
        <v>124</v>
      </c>
      <c r="C52" t="str">
        <f>'OKR '!D193</f>
        <v>Definir instrumentos e periodicidade de capacitação</v>
      </c>
      <c r="D52" t="str">
        <f>'OKR '!E193</f>
        <v>Comitê de Governança</v>
      </c>
      <c r="E52" s="174">
        <f>'OKR '!G193</f>
        <v>46113</v>
      </c>
      <c r="F52" s="174">
        <f>'OKR '!H193</f>
        <v>46142</v>
      </c>
      <c r="G52" s="172">
        <f>F52-E52</f>
        <v>29</v>
      </c>
      <c r="H52" s="203" t="e" cm="1">
        <f t="array" aca="1" ref="H52" ca="1">IF($A52="Eixo: 2 - Formação e Desenvolvimento",$G52,_xludf.NA())</f>
        <v>#NAME?</v>
      </c>
      <c r="I52" s="203" t="e" cm="1">
        <f t="array" aca="1" ref="I52" ca="1">IF($A52="Eixo: 4 - Telessaúde",$G52,_xludf.NA())</f>
        <v>#NAME?</v>
      </c>
      <c r="J52" s="203" cm="1">
        <f t="array" ref="J52">IF($A52="Eixo: 6 - Monitoramento, avaliação e disseminação de informações estratégicas",$G52,_xludf.NA())</f>
        <v>29</v>
      </c>
    </row>
    <row r="53" spans="1:10">
      <c r="A53" t="s">
        <v>86</v>
      </c>
      <c r="B53" t="s">
        <v>124</v>
      </c>
      <c r="C53" t="str">
        <f>'OKR '!D194</f>
        <v>Estabelecer formatos adequados (oficinas, apoio técnico, materiais)</v>
      </c>
      <c r="D53" t="str">
        <f>'OKR '!E194</f>
        <v>Comitê de Governança</v>
      </c>
      <c r="E53" s="174">
        <f>'OKR '!G194</f>
        <v>46113</v>
      </c>
      <c r="F53" s="174">
        <f>'OKR '!H194</f>
        <v>46142</v>
      </c>
      <c r="G53" s="172">
        <f>F53-E53</f>
        <v>29</v>
      </c>
      <c r="H53" s="203" t="e" cm="1">
        <f t="array" aca="1" ref="H53" ca="1">IF($A53="Eixo: 2 - Formação e Desenvolvimento",$G53,_xludf.NA())</f>
        <v>#NAME?</v>
      </c>
      <c r="I53" s="203" t="e" cm="1">
        <f t="array" aca="1" ref="I53" ca="1">IF($A53="Eixo: 4 - Telessaúde",$G53,_xludf.NA())</f>
        <v>#NAME?</v>
      </c>
      <c r="J53" s="203" cm="1">
        <f t="array" ref="J53">IF($A53="Eixo: 6 - Monitoramento, avaliação e disseminação de informações estratégicas",$G53,_xludf.NA())</f>
        <v>29</v>
      </c>
    </row>
    <row r="54" spans="1:10">
      <c r="A54" t="s">
        <v>86</v>
      </c>
      <c r="B54" t="s">
        <v>124</v>
      </c>
      <c r="C54" t="str">
        <f>'OKR '!D195</f>
        <v>Instituir rotinas de uso da informação</v>
      </c>
      <c r="D54" t="str">
        <f>'OKR '!E195</f>
        <v>Comitê de Governança</v>
      </c>
      <c r="E54" s="174">
        <f>'OKR '!G195</f>
        <v>46113</v>
      </c>
      <c r="F54" s="174">
        <f>'OKR '!H195</f>
        <v>46173</v>
      </c>
      <c r="G54" s="172">
        <f>F54-E54</f>
        <v>60</v>
      </c>
      <c r="H54" s="203" t="e" cm="1">
        <f t="array" aca="1" ref="H54" ca="1">IF($A54="Eixo: 2 - Formação e Desenvolvimento",$G54,_xludf.NA())</f>
        <v>#NAME?</v>
      </c>
      <c r="I54" s="203" t="e" cm="1">
        <f t="array" aca="1" ref="I54" ca="1">IF($A54="Eixo: 4 - Telessaúde",$G54,_xludf.NA())</f>
        <v>#NAME?</v>
      </c>
      <c r="J54" s="203" cm="1">
        <f t="array" ref="J54">IF($A54="Eixo: 6 - Monitoramento, avaliação e disseminação de informações estratégicas",$G54,_xludf.NA())</f>
        <v>60</v>
      </c>
    </row>
    <row r="55" spans="1:10" ht="60.75">
      <c r="A55" s="169" t="s">
        <v>2</v>
      </c>
      <c r="B55" s="169" t="s">
        <v>40</v>
      </c>
      <c r="C55" s="169" t="str">
        <f>'OKR '!D60</f>
        <v>Realizar formações priorizadas</v>
      </c>
      <c r="D55" s="169" t="str">
        <f>'OKR '!E60</f>
        <v>Grupo de Trabalho, Regional, Gestores Municipais, NSDIGI, Grupo de Telessaúde e Gestão de Dados</v>
      </c>
      <c r="E55" s="170">
        <f>'OKR '!G60</f>
        <v>46143</v>
      </c>
      <c r="F55" s="170">
        <f>'OKR '!H60</f>
        <v>46234</v>
      </c>
      <c r="G55" s="172">
        <f>F55-E55</f>
        <v>91</v>
      </c>
      <c r="H55" s="203" cm="1">
        <f t="array" ref="H55">IF($A55="Eixo: 2 - Formação e Desenvolvimento",$G55,_xludf.NA())</f>
        <v>91</v>
      </c>
      <c r="I55" s="203" t="e" cm="1">
        <f t="array" aca="1" ref="I55" ca="1">IF($A55="Eixo: 4 - Telessaúde",$G55,_xludf.NA())</f>
        <v>#NAME?</v>
      </c>
      <c r="J55" s="203" t="e" cm="1">
        <f t="array" aca="1" ref="J55" ca="1">IF($A55="Eixo: 6 - Monitoramento, avaliação e disseminação de informações estratégicas",$G55,_xludf.NA())</f>
        <v>#NAME?</v>
      </c>
    </row>
    <row r="56" spans="1:10">
      <c r="A56" t="s">
        <v>86</v>
      </c>
      <c r="B56" t="s">
        <v>124</v>
      </c>
      <c r="C56" t="str">
        <f>'OKR '!D196</f>
        <v>Capacitar para uso da informação na gestão</v>
      </c>
      <c r="D56" t="str">
        <f>'OKR '!E196</f>
        <v>Comitê de Governança</v>
      </c>
      <c r="E56" s="174">
        <f>'OKR '!G196</f>
        <v>46143</v>
      </c>
      <c r="F56" s="174">
        <f>'OKR '!H196</f>
        <v>46265</v>
      </c>
      <c r="G56" s="172">
        <f>F56-E56</f>
        <v>122</v>
      </c>
      <c r="H56" s="203" t="e" cm="1">
        <f t="array" aca="1" ref="H56" ca="1">IF($A56="Eixo: 2 - Formação e Desenvolvimento",$G56,_xludf.NA())</f>
        <v>#NAME?</v>
      </c>
      <c r="I56" s="203" t="e" cm="1">
        <f t="array" aca="1" ref="I56" ca="1">IF($A56="Eixo: 4 - Telessaúde",$G56,_xludf.NA())</f>
        <v>#NAME?</v>
      </c>
      <c r="J56" s="203" cm="1">
        <f t="array" ref="J56">IF($A56="Eixo: 6 - Monitoramento, avaliação e disseminação de informações estratégicas",$G56,_xludf.NA())</f>
        <v>122</v>
      </c>
    </row>
    <row r="57" spans="1:10">
      <c r="A57" t="s">
        <v>86</v>
      </c>
      <c r="B57" t="s">
        <v>124</v>
      </c>
      <c r="C57" t="str">
        <f>'OKR '!D197</f>
        <v>Capacitar para uso qualificado dos sistemas integrados</v>
      </c>
      <c r="D57" t="str">
        <f>'OKR '!E197</f>
        <v>Comitê de Governança</v>
      </c>
      <c r="E57" s="174">
        <f>'OKR '!G197</f>
        <v>46143</v>
      </c>
      <c r="F57" s="174">
        <f>'OKR '!H197</f>
        <v>46265</v>
      </c>
      <c r="G57" s="172">
        <f>F57-E57</f>
        <v>122</v>
      </c>
      <c r="H57" s="203" t="e" cm="1">
        <f t="array" aca="1" ref="H57" ca="1">IF($A57="Eixo: 2 - Formação e Desenvolvimento",$G57,_xludf.NA())</f>
        <v>#NAME?</v>
      </c>
      <c r="I57" s="203" t="e" cm="1">
        <f t="array" aca="1" ref="I57" ca="1">IF($A57="Eixo: 4 - Telessaúde",$G57,_xludf.NA())</f>
        <v>#NAME?</v>
      </c>
      <c r="J57" s="203" cm="1">
        <f t="array" ref="J57">IF($A57="Eixo: 6 - Monitoramento, avaliação e disseminação de informações estratégicas",$G57,_xludf.NA())</f>
        <v>122</v>
      </c>
    </row>
    <row r="58" spans="1:10">
      <c r="A58" t="s">
        <v>86</v>
      </c>
      <c r="B58" t="s">
        <v>124</v>
      </c>
      <c r="C58" t="str">
        <f>'OKR '!D198</f>
        <v>Treinar com base nos sistemas efetivamente priorizados</v>
      </c>
      <c r="D58" t="str">
        <f>'OKR '!E198</f>
        <v>Comitê de Governança</v>
      </c>
      <c r="E58" s="174">
        <f>'OKR '!G198</f>
        <v>46143</v>
      </c>
      <c r="F58" s="174">
        <f>'OKR '!H198</f>
        <v>46265</v>
      </c>
      <c r="G58" s="172">
        <f>F58-E58</f>
        <v>122</v>
      </c>
      <c r="H58" s="203" t="e" cm="1">
        <f t="array" aca="1" ref="H58" ca="1">IF($A58="Eixo: 2 - Formação e Desenvolvimento",$G58,_xludf.NA())</f>
        <v>#NAME?</v>
      </c>
      <c r="I58" s="203" t="e" cm="1">
        <f t="array" aca="1" ref="I58" ca="1">IF($A58="Eixo: 4 - Telessaúde",$G58,_xludf.NA())</f>
        <v>#NAME?</v>
      </c>
      <c r="J58" s="203" cm="1">
        <f t="array" ref="J58">IF($A58="Eixo: 6 - Monitoramento, avaliação e disseminação de informações estratégicas",$G58,_xludf.NA())</f>
        <v>122</v>
      </c>
    </row>
    <row r="59" spans="1:10">
      <c r="A59" t="s">
        <v>48</v>
      </c>
      <c r="B59" t="s">
        <v>73</v>
      </c>
      <c r="C59" t="str">
        <f>'OKR '!D132</f>
        <v>Realizar formação das equipes indicadas</v>
      </c>
      <c r="D59" t="str">
        <f>'OKR '!E132</f>
        <v>Equipe Microrregional, SES (Equipe da Telessaúde + NSDIGI), Núcleos de telessaúde</v>
      </c>
      <c r="E59" s="174">
        <f>'OKR '!G132</f>
        <v>46204</v>
      </c>
      <c r="F59" s="174">
        <f>'OKR '!H132</f>
        <v>46295</v>
      </c>
      <c r="G59" s="172">
        <f>F59-E59</f>
        <v>91</v>
      </c>
      <c r="H59" s="203" t="e" cm="1">
        <f t="array" aca="1" ref="H59" ca="1">IF($A59="Eixo: 2 - Formação e Desenvolvimento",$G59,_xludf.NA())</f>
        <v>#NAME?</v>
      </c>
      <c r="I59" s="203" cm="1">
        <f t="array" ref="I59">IF($A59="Eixo: 4 - Telessaúde",$G59,_xludf.NA())</f>
        <v>91</v>
      </c>
      <c r="J59" s="203" t="e" cm="1">
        <f t="array" aca="1" ref="J59" ca="1">IF($A59="Eixo: 6 - Monitoramento, avaliação e disseminação de informações estratégicas",$G59,_xludf.NA())</f>
        <v>#NAME?</v>
      </c>
    </row>
    <row r="60" spans="1:10">
      <c r="A60" t="s">
        <v>48</v>
      </c>
      <c r="B60" t="s">
        <v>52</v>
      </c>
      <c r="C60" t="str">
        <f>'OKR '!D94</f>
        <v>Executar avaliação trimestral</v>
      </c>
      <c r="D60" t="str">
        <f>'OKR '!E94</f>
        <v>Equipe Microrregional</v>
      </c>
      <c r="E60" s="174">
        <f>'OKR '!G94</f>
        <v>46204</v>
      </c>
      <c r="F60" s="174">
        <f>'OKR '!H94</f>
        <v>46234</v>
      </c>
      <c r="G60" s="172">
        <f>F60-E60</f>
        <v>30</v>
      </c>
      <c r="H60" s="203" t="e" cm="1">
        <f t="array" aca="1" ref="H60" ca="1">IF($A60="Eixo: 2 - Formação e Desenvolvimento",$G60,_xludf.NA())</f>
        <v>#NAME?</v>
      </c>
      <c r="I60" s="203" cm="1">
        <f t="array" ref="I60">IF($A60="Eixo: 4 - Telessaúde",$G60,_xludf.NA())</f>
        <v>30</v>
      </c>
      <c r="J60" s="203" t="e" cm="1">
        <f t="array" aca="1" ref="J60" ca="1">IF($A60="Eixo: 6 - Monitoramento, avaliação e disseminação de informações estratégicas",$G60,_xludf.NA())</f>
        <v>#NAME?</v>
      </c>
    </row>
    <row r="61" spans="1:10">
      <c r="A61" t="s">
        <v>48</v>
      </c>
      <c r="B61" t="s">
        <v>64</v>
      </c>
      <c r="C61" t="str">
        <f>'OKR '!D112</f>
        <v>Elaborar plano de ação para superação dos obstáculos identificados</v>
      </c>
      <c r="D61" t="str">
        <f>'OKR '!E112</f>
        <v>Equipe Microrregional</v>
      </c>
      <c r="E61" s="174">
        <f>'OKR '!G112</f>
        <v>46204</v>
      </c>
      <c r="F61" s="174">
        <f>'OKR '!H112</f>
        <v>46265</v>
      </c>
      <c r="G61" s="172">
        <f>F61-E61</f>
        <v>61</v>
      </c>
      <c r="H61" s="203" t="e" cm="1">
        <f t="array" aca="1" ref="H61" ca="1">IF($A61="Eixo: 2 - Formação e Desenvolvimento",$G61,_xludf.NA())</f>
        <v>#NAME?</v>
      </c>
      <c r="I61" s="203" cm="1">
        <f t="array" ref="I61">IF($A61="Eixo: 4 - Telessaúde",$G61,_xludf.NA())</f>
        <v>61</v>
      </c>
      <c r="J61" s="203" t="e" cm="1">
        <f t="array" aca="1" ref="J61" ca="1">IF($A61="Eixo: 6 - Monitoramento, avaliação e disseminação de informações estratégicas",$G61,_xludf.NA())</f>
        <v>#NAME?</v>
      </c>
    </row>
    <row r="62" spans="1:10">
      <c r="A62" t="s">
        <v>86</v>
      </c>
      <c r="B62" t="s">
        <v>90</v>
      </c>
      <c r="C62" t="str">
        <f>'OKR '!D160</f>
        <v>Identificar lacunas e necessidades relacionadas à integração</v>
      </c>
      <c r="D62" t="str">
        <f>'OKR '!E160</f>
        <v>Grupo de trabalho</v>
      </c>
      <c r="E62" s="174">
        <f>'OKR '!G160</f>
        <v>46204</v>
      </c>
      <c r="F62" s="174">
        <f>'OKR '!H160</f>
        <v>46326</v>
      </c>
      <c r="G62" s="172">
        <f>F62-E62</f>
        <v>122</v>
      </c>
      <c r="H62" s="203" t="e" cm="1">
        <f t="array" aca="1" ref="H62" ca="1">IF($A62="Eixo: 2 - Formação e Desenvolvimento",$G62,_xludf.NA())</f>
        <v>#NAME?</v>
      </c>
      <c r="I62" s="203" t="e" cm="1">
        <f t="array" aca="1" ref="I62" ca="1">IF($A62="Eixo: 4 - Telessaúde",$G62,_xludf.NA())</f>
        <v>#NAME?</v>
      </c>
      <c r="J62" s="203" cm="1">
        <f t="array" ref="J62">IF($A62="Eixo: 6 - Monitoramento, avaliação e disseminação de informações estratégicas",$G62,_xludf.NA())</f>
        <v>122</v>
      </c>
    </row>
    <row r="63" spans="1:10">
      <c r="A63" t="s">
        <v>86</v>
      </c>
      <c r="B63" t="s">
        <v>90</v>
      </c>
      <c r="C63" t="str">
        <f>'OKR '!D161</f>
        <v>Identificar retrabalho, duplicidade de registro e perda de informação</v>
      </c>
      <c r="D63" t="str">
        <f>'OKR '!E161</f>
        <v>Grupo de trabalho</v>
      </c>
      <c r="E63" s="174">
        <f>'OKR '!G161</f>
        <v>46204</v>
      </c>
      <c r="F63" s="174">
        <f>'OKR '!H161</f>
        <v>46326</v>
      </c>
      <c r="G63" s="172">
        <f>F63-E63</f>
        <v>122</v>
      </c>
      <c r="H63" s="203" t="e" cm="1">
        <f t="array" aca="1" ref="H63" ca="1">IF($A63="Eixo: 2 - Formação e Desenvolvimento",$G63,_xludf.NA())</f>
        <v>#NAME?</v>
      </c>
      <c r="I63" s="203" t="e" cm="1">
        <f t="array" aca="1" ref="I63" ca="1">IF($A63="Eixo: 4 - Telessaúde",$G63,_xludf.NA())</f>
        <v>#NAME?</v>
      </c>
      <c r="J63" s="203" cm="1">
        <f t="array" ref="J63">IF($A63="Eixo: 6 - Monitoramento, avaliação e disseminação de informações estratégicas",$G63,_xludf.NA())</f>
        <v>122</v>
      </c>
    </row>
    <row r="64" spans="1:10">
      <c r="A64" t="s">
        <v>86</v>
      </c>
      <c r="B64" t="s">
        <v>90</v>
      </c>
      <c r="C64" t="str">
        <f>'OKR '!D162</f>
        <v>Mapear fluxos de dados e uso da informação</v>
      </c>
      <c r="D64" t="str">
        <f>'OKR '!E162</f>
        <v>Grupo de trabalho</v>
      </c>
      <c r="E64" s="174">
        <f>'OKR '!G162</f>
        <v>46204</v>
      </c>
      <c r="F64" s="174">
        <f>'OKR '!H162</f>
        <v>46326</v>
      </c>
      <c r="G64" s="172">
        <f>F64-E64</f>
        <v>122</v>
      </c>
      <c r="H64" s="203" t="e" cm="1">
        <f t="array" aca="1" ref="H64" ca="1">IF($A64="Eixo: 2 - Formação e Desenvolvimento",$G64,_xludf.NA())</f>
        <v>#NAME?</v>
      </c>
      <c r="I64" s="203" t="e" cm="1">
        <f t="array" aca="1" ref="I64" ca="1">IF($A64="Eixo: 4 - Telessaúde",$G64,_xludf.NA())</f>
        <v>#NAME?</v>
      </c>
      <c r="J64" s="203" cm="1">
        <f t="array" ref="J64">IF($A64="Eixo: 6 - Monitoramento, avaliação e disseminação de informações estratégicas",$G64,_xludf.NA())</f>
        <v>122</v>
      </c>
    </row>
    <row r="65" spans="1:10">
      <c r="A65" t="s">
        <v>86</v>
      </c>
      <c r="B65" t="s">
        <v>90</v>
      </c>
      <c r="C65" t="str">
        <f>'OKR '!D163</f>
        <v>Identificar quem produz, quem consome e para qual finalidade</v>
      </c>
      <c r="D65" t="str">
        <f>'OKR '!E163</f>
        <v>Grupo de trabalho</v>
      </c>
      <c r="E65" s="174">
        <f>'OKR '!G163</f>
        <v>46204</v>
      </c>
      <c r="F65" s="174">
        <f>'OKR '!H163</f>
        <v>46326</v>
      </c>
      <c r="G65" s="172">
        <f>F65-E65</f>
        <v>122</v>
      </c>
      <c r="H65" s="203" t="e" cm="1">
        <f t="array" aca="1" ref="H65" ca="1">IF($A65="Eixo: 2 - Formação e Desenvolvimento",$G65,_xludf.NA())</f>
        <v>#NAME?</v>
      </c>
      <c r="I65" s="203" t="e" cm="1">
        <f t="array" aca="1" ref="I65" ca="1">IF($A65="Eixo: 4 - Telessaúde",$G65,_xludf.NA())</f>
        <v>#NAME?</v>
      </c>
      <c r="J65" s="203" cm="1">
        <f t="array" ref="J65">IF($A65="Eixo: 6 - Monitoramento, avaliação e disseminação de informações estratégicas",$G65,_xludf.NA())</f>
        <v>122</v>
      </c>
    </row>
    <row r="66" spans="1:10">
      <c r="A66" t="s">
        <v>86</v>
      </c>
      <c r="B66" t="s">
        <v>90</v>
      </c>
      <c r="C66" t="str">
        <f>'OKR '!D164</f>
        <v>Verificar aderência aos fluxos estaduais e nacionais (ex: RNDS)</v>
      </c>
      <c r="D66" t="str">
        <f>'OKR '!E164</f>
        <v>Grupo de trabalho</v>
      </c>
      <c r="E66" s="174">
        <f>'OKR '!G164</f>
        <v>46204</v>
      </c>
      <c r="F66" s="174">
        <f>'OKR '!H164</f>
        <v>46326</v>
      </c>
      <c r="G66" s="172">
        <f>F66-E66</f>
        <v>122</v>
      </c>
      <c r="H66" s="203" t="e" cm="1">
        <f t="array" aca="1" ref="H66" ca="1">IF($A66="Eixo: 2 - Formação e Desenvolvimento",$G66,_xludf.NA())</f>
        <v>#NAME?</v>
      </c>
      <c r="I66" s="203" t="e" cm="1">
        <f t="array" aca="1" ref="I66" ca="1">IF($A66="Eixo: 4 - Telessaúde",$G66,_xludf.NA())</f>
        <v>#NAME?</v>
      </c>
      <c r="J66" s="203" cm="1">
        <f t="array" ref="J66">IF($A66="Eixo: 6 - Monitoramento, avaliação e disseminação de informações estratégicas",$G66,_xludf.NA())</f>
        <v>122</v>
      </c>
    </row>
    <row r="67" spans="1:10" ht="30.75">
      <c r="A67" s="169" t="s">
        <v>2</v>
      </c>
      <c r="B67" s="169" t="s">
        <v>40</v>
      </c>
      <c r="C67" s="169" t="str">
        <f>'OKR '!D61</f>
        <v>Aplicar avaliação</v>
      </c>
      <c r="D67" s="169" t="str">
        <f>'OKR '!E61</f>
        <v>Grupo de Trabalho</v>
      </c>
      <c r="E67" s="170">
        <f>'OKR '!G61</f>
        <v>46235</v>
      </c>
      <c r="F67" s="170">
        <f>'OKR '!H61</f>
        <v>46265</v>
      </c>
      <c r="G67" s="172">
        <f>F67-E67</f>
        <v>30</v>
      </c>
      <c r="H67" s="203" cm="1">
        <f t="array" ref="H67">IF($A67="Eixo: 2 - Formação e Desenvolvimento",$G67,_xludf.NA())</f>
        <v>30</v>
      </c>
      <c r="I67" s="203" t="e" cm="1">
        <f t="array" aca="1" ref="I67" ca="1">IF($A67="Eixo: 4 - Telessaúde",$G67,_xludf.NA())</f>
        <v>#NAME?</v>
      </c>
      <c r="J67" s="203" t="e" cm="1">
        <f t="array" aca="1" ref="J67" ca="1">IF($A67="Eixo: 6 - Monitoramento, avaliação e disseminação de informações estratégicas",$G67,_xludf.NA())</f>
        <v>#NAME?</v>
      </c>
    </row>
    <row r="68" spans="1:10" ht="30.75">
      <c r="A68" s="169" t="s">
        <v>2</v>
      </c>
      <c r="B68" s="169" t="s">
        <v>40</v>
      </c>
      <c r="C68" s="169" t="str">
        <f>'OKR '!D62</f>
        <v>Definir uma rede de apoio pós-treinamentos.</v>
      </c>
      <c r="D68" s="169" t="str">
        <f>'OKR '!E62</f>
        <v>Grupo de Trabalho</v>
      </c>
      <c r="E68" s="170">
        <f>'OKR '!G62</f>
        <v>46235</v>
      </c>
      <c r="F68" s="170">
        <f>'OKR '!H62</f>
        <v>46325</v>
      </c>
      <c r="G68" s="172">
        <f>F68-E68</f>
        <v>90</v>
      </c>
      <c r="H68" s="203" cm="1">
        <f t="array" ref="H68">IF($A68="Eixo: 2 - Formação e Desenvolvimento",$G68,_xludf.NA())</f>
        <v>90</v>
      </c>
      <c r="I68" s="203" t="e" cm="1">
        <f t="array" aca="1" ref="I68" ca="1">IF($A68="Eixo: 4 - Telessaúde",$G68,_xludf.NA())</f>
        <v>#NAME?</v>
      </c>
      <c r="J68" s="203" t="e" cm="1">
        <f t="array" aca="1" ref="J68" ca="1">IF($A68="Eixo: 6 - Monitoramento, avaliação e disseminação de informações estratégicas",$G68,_xludf.NA())</f>
        <v>#NAME?</v>
      </c>
    </row>
    <row r="69" spans="1:10">
      <c r="A69" t="s">
        <v>48</v>
      </c>
      <c r="B69" t="s">
        <v>73</v>
      </c>
      <c r="C69" t="str">
        <f>'OKR '!D133</f>
        <v>Criar a rede de profissionais habilitados em telessaúde</v>
      </c>
      <c r="D69" t="str">
        <f>'OKR '!E133</f>
        <v>Equipe Microrregional, SES (Equipe da Telessaúde + NSDIGI), Núcleos de telessaúde</v>
      </c>
      <c r="E69" s="174">
        <f>'OKR '!G133</f>
        <v>46235</v>
      </c>
      <c r="F69" s="174">
        <f>'OKR '!H133</f>
        <v>46326</v>
      </c>
      <c r="G69" s="172">
        <f>F69-E69</f>
        <v>91</v>
      </c>
      <c r="H69" s="203" t="e" cm="1">
        <f t="array" aca="1" ref="H69" ca="1">IF($A69="Eixo: 2 - Formação e Desenvolvimento",$G69,_xludf.NA())</f>
        <v>#NAME?</v>
      </c>
      <c r="I69" s="203" cm="1">
        <f t="array" ref="I69">IF($A69="Eixo: 4 - Telessaúde",$G69,_xludf.NA())</f>
        <v>91</v>
      </c>
      <c r="J69" s="203" t="e" cm="1">
        <f t="array" aca="1" ref="J69" ca="1">IF($A69="Eixo: 6 - Monitoramento, avaliação e disseminação de informações estratégicas",$G69,_xludf.NA())</f>
        <v>#NAME?</v>
      </c>
    </row>
    <row r="70" spans="1:10">
      <c r="A70" t="s">
        <v>86</v>
      </c>
      <c r="B70" t="s">
        <v>124</v>
      </c>
      <c r="C70" t="str">
        <f>'OKR '!D199</f>
        <v>Criar momentos formais de análise de dados</v>
      </c>
      <c r="D70" t="str">
        <f>'OKR '!E199</f>
        <v>Comitê de Governança</v>
      </c>
      <c r="E70" s="174">
        <f>'OKR '!G199</f>
        <v>46235</v>
      </c>
      <c r="F70" s="174">
        <f>'OKR '!H199</f>
        <v>46387</v>
      </c>
      <c r="G70" s="172">
        <f>F70-E70</f>
        <v>152</v>
      </c>
      <c r="H70" s="203" t="e" cm="1">
        <f t="array" aca="1" ref="H70" ca="1">IF($A70="Eixo: 2 - Formação e Desenvolvimento",$G70,_xludf.NA())</f>
        <v>#NAME?</v>
      </c>
      <c r="I70" s="203" t="e" cm="1">
        <f t="array" aca="1" ref="I70" ca="1">IF($A70="Eixo: 4 - Telessaúde",$G70,_xludf.NA())</f>
        <v>#NAME?</v>
      </c>
      <c r="J70" s="203" cm="1">
        <f t="array" ref="J70">IF($A70="Eixo: 6 - Monitoramento, avaliação e disseminação de informações estratégicas",$G70,_xludf.NA())</f>
        <v>152</v>
      </c>
    </row>
    <row r="71" spans="1:10">
      <c r="A71" t="s">
        <v>86</v>
      </c>
      <c r="B71" t="s">
        <v>124</v>
      </c>
      <c r="C71" t="str">
        <f>'OKR '!D200</f>
        <v xml:space="preserve">Criar cultura de uso contínuo da informação para tomada de decisões </v>
      </c>
      <c r="D71" t="str">
        <f>'OKR '!E200</f>
        <v>Comitê de Governança</v>
      </c>
      <c r="E71" s="174">
        <f>'OKR '!G200</f>
        <v>46266</v>
      </c>
      <c r="F71" s="174">
        <f>'OKR '!H200</f>
        <v>46387</v>
      </c>
      <c r="G71" s="172">
        <f>F71-E71</f>
        <v>121</v>
      </c>
      <c r="H71" s="203" t="e" cm="1">
        <f t="array" aca="1" ref="H71" ca="1">IF($A71="Eixo: 2 - Formação e Desenvolvimento",$G71,_xludf.NA())</f>
        <v>#NAME?</v>
      </c>
      <c r="I71" s="203" t="e" cm="1">
        <f t="array" aca="1" ref="I71" ca="1">IF($A71="Eixo: 4 - Telessaúde",$G71,_xludf.NA())</f>
        <v>#NAME?</v>
      </c>
      <c r="J71" s="203" cm="1">
        <f t="array" ref="J71">IF($A71="Eixo: 6 - Monitoramento, avaliação e disseminação de informações estratégicas",$G71,_xludf.NA())</f>
        <v>121</v>
      </c>
    </row>
    <row r="72" spans="1:10" ht="30.75">
      <c r="A72" s="169" t="s">
        <v>2</v>
      </c>
      <c r="B72" s="169" t="s">
        <v>26</v>
      </c>
      <c r="C72" s="169" t="s">
        <v>38</v>
      </c>
      <c r="D72" s="169" t="s">
        <v>29</v>
      </c>
      <c r="E72" s="170">
        <v>46327</v>
      </c>
      <c r="F72" s="170">
        <v>46356</v>
      </c>
      <c r="G72" s="172">
        <f>F72-E72</f>
        <v>29</v>
      </c>
      <c r="H72" s="203" cm="1">
        <f t="array" ref="H72">IF($A72="Eixo: 2 - Formação e Desenvolvimento",$G72,_xludf.NA())</f>
        <v>29</v>
      </c>
      <c r="I72" s="203" t="e" cm="1">
        <f t="array" aca="1" ref="I72" ca="1">IF($A72="Eixo: 4 - Telessaúde",$G72,_xludf.NA())</f>
        <v>#NAME?</v>
      </c>
      <c r="J72" s="203" t="e" cm="1">
        <f t="array" aca="1" ref="J72" ca="1">IF($A72="Eixo: 6 - Monitoramento, avaliação e disseminação de informações estratégicas",$G72,_xludf.NA())</f>
        <v>#NAME?</v>
      </c>
    </row>
    <row r="73" spans="1:10">
      <c r="A73" t="s">
        <v>86</v>
      </c>
      <c r="B73" t="s">
        <v>90</v>
      </c>
      <c r="C73" t="str">
        <f>'OKR '!D165</f>
        <v>Consolidar diagnóstico para apoio à decisão - síntese com sistemas prioritários para integração</v>
      </c>
      <c r="D73" t="str">
        <f>'OKR '!E165</f>
        <v>Grupo de trabalho</v>
      </c>
      <c r="E73" s="174">
        <f>'OKR '!G165</f>
        <v>46327</v>
      </c>
      <c r="F73" s="174">
        <f>'OKR '!H165</f>
        <v>46387</v>
      </c>
      <c r="G73" s="172">
        <f>F73-E73</f>
        <v>60</v>
      </c>
      <c r="H73" s="203" t="e" cm="1">
        <f t="array" aca="1" ref="H73" ca="1">IF($A73="Eixo: 2 - Formação e Desenvolvimento",$G73,_xludf.NA())</f>
        <v>#NAME?</v>
      </c>
      <c r="I73" s="203" t="e" cm="1">
        <f t="array" aca="1" ref="I73" ca="1">IF($A73="Eixo: 4 - Telessaúde",$G73,_xludf.NA())</f>
        <v>#NAME?</v>
      </c>
      <c r="J73" s="203" cm="1">
        <f t="array" ref="J73">IF($A73="Eixo: 6 - Monitoramento, avaliação e disseminação de informações estratégicas",$G73,_xludf.NA())</f>
        <v>60</v>
      </c>
    </row>
    <row r="74" spans="1:10">
      <c r="A74" t="s">
        <v>86</v>
      </c>
      <c r="B74" t="s">
        <v>90</v>
      </c>
      <c r="C74" t="str">
        <f>'OKR '!D166</f>
        <v>Apontar riscos e oportunidades para a gestão regional e estadual</v>
      </c>
      <c r="D74" t="str">
        <f>'OKR '!E166</f>
        <v>Grupo de trabalho</v>
      </c>
      <c r="E74" s="174">
        <f>'OKR '!G166</f>
        <v>46327</v>
      </c>
      <c r="F74" s="174">
        <f>'OKR '!H166</f>
        <v>46387</v>
      </c>
      <c r="G74" s="172">
        <f>F74-E74</f>
        <v>60</v>
      </c>
      <c r="H74" s="203" t="e" cm="1">
        <f t="array" aca="1" ref="H74" ca="1">IF($A74="Eixo: 2 - Formação e Desenvolvimento",$G74,_xludf.NA())</f>
        <v>#NAME?</v>
      </c>
      <c r="I74" s="203" t="e" cm="1">
        <f t="array" aca="1" ref="I74" ca="1">IF($A74="Eixo: 4 - Telessaúde",$G74,_xludf.NA())</f>
        <v>#NAME?</v>
      </c>
      <c r="J74" s="203" cm="1">
        <f t="array" ref="J74">IF($A74="Eixo: 6 - Monitoramento, avaliação e disseminação de informações estratégicas",$G74,_xludf.NA())</f>
        <v>60</v>
      </c>
    </row>
    <row r="75" spans="1:10">
      <c r="F75" s="174"/>
      <c r="G75" s="172"/>
      <c r="I75" s="202"/>
      <c r="J75" s="202"/>
    </row>
  </sheetData>
  <autoFilter ref="A1:J74" xr:uid="{23E2F808-8906-494C-8041-40844C49CD9D}">
    <sortState xmlns:xlrd2="http://schemas.microsoft.com/office/spreadsheetml/2017/richdata2" ref="A2:J74">
      <sortCondition ref="E1:E7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8C3E0-B873-454A-BF32-D31B0E2B9369}">
  <sheetPr>
    <pageSetUpPr fitToPage="1"/>
  </sheetPr>
  <dimension ref="B1:W108"/>
  <sheetViews>
    <sheetView showGridLines="0" workbookViewId="0"/>
  </sheetViews>
  <sheetFormatPr defaultColWidth="0" defaultRowHeight="15" zeroHeight="1"/>
  <cols>
    <col min="1" max="26" width="9.140625" customWidth="1"/>
  </cols>
  <sheetData>
    <row r="1" spans="2:23">
      <c r="B1" s="253" t="s">
        <v>148</v>
      </c>
      <c r="C1" s="254"/>
      <c r="D1" s="254"/>
      <c r="E1" s="254"/>
      <c r="F1" s="254"/>
      <c r="G1" s="254"/>
      <c r="H1" s="254"/>
      <c r="I1" s="254"/>
      <c r="J1" s="254"/>
      <c r="K1" s="254"/>
      <c r="L1" s="254"/>
      <c r="M1" s="254"/>
      <c r="N1" s="254"/>
      <c r="O1" s="254"/>
      <c r="P1" s="254"/>
      <c r="Q1" s="254"/>
      <c r="R1" s="254"/>
      <c r="S1" s="254"/>
      <c r="T1" s="254"/>
      <c r="U1" s="254"/>
      <c r="V1" s="254"/>
      <c r="W1" s="254"/>
    </row>
    <row r="2" spans="2:23" ht="25.5" customHeight="1">
      <c r="B2" s="253" t="s">
        <v>149</v>
      </c>
      <c r="C2" s="254"/>
      <c r="D2" s="254"/>
      <c r="E2" s="254"/>
      <c r="F2" s="254"/>
      <c r="G2" s="254"/>
      <c r="H2" s="254"/>
      <c r="I2" s="254"/>
      <c r="J2" s="254"/>
      <c r="K2" s="254"/>
      <c r="L2" s="254"/>
      <c r="M2" s="254"/>
      <c r="N2" s="254"/>
      <c r="O2" s="254"/>
      <c r="P2" s="254"/>
      <c r="Q2" s="254"/>
      <c r="R2" s="254"/>
      <c r="S2" s="254"/>
      <c r="T2" s="254"/>
      <c r="U2" s="254"/>
      <c r="V2" s="254"/>
      <c r="W2" s="254"/>
    </row>
    <row r="3" spans="2:23" s="3" customFormat="1" ht="19.5" customHeight="1">
      <c r="B3" s="248" t="s">
        <v>2</v>
      </c>
      <c r="C3" s="249"/>
      <c r="D3" s="249"/>
      <c r="E3" s="249"/>
      <c r="F3" s="249"/>
      <c r="G3" s="249"/>
      <c r="I3" s="250" t="s">
        <v>150</v>
      </c>
      <c r="J3" s="251"/>
      <c r="K3" s="251"/>
      <c r="L3" s="251"/>
      <c r="M3" s="251"/>
      <c r="N3" s="251"/>
      <c r="P3" s="252" t="s">
        <v>86</v>
      </c>
      <c r="Q3" s="252"/>
      <c r="R3" s="252"/>
      <c r="S3" s="252"/>
      <c r="T3" s="252"/>
      <c r="U3" s="252"/>
      <c r="V3" s="252"/>
      <c r="W3" s="252"/>
    </row>
    <row r="4" spans="2:23"/>
    <row r="5" spans="2:23"/>
    <row r="6" spans="2:23"/>
    <row r="7" spans="2:23"/>
    <row r="8" spans="2:23"/>
    <row r="9" spans="2:23"/>
    <row r="10" spans="2:23"/>
    <row r="11" spans="2:23"/>
    <row r="12" spans="2:23"/>
    <row r="13" spans="2:23"/>
    <row r="14" spans="2:23"/>
    <row r="15" spans="2:23"/>
    <row r="16" spans="2:23"/>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sheetData>
  <mergeCells count="5">
    <mergeCell ref="B3:G3"/>
    <mergeCell ref="I3:N3"/>
    <mergeCell ref="P3:W3"/>
    <mergeCell ref="B2:W2"/>
    <mergeCell ref="B1:W1"/>
  </mergeCells>
  <pageMargins left="0.25" right="0.25"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3B66E-E465-49C1-9637-070D96CB8A62}">
  <sheetPr>
    <tabColor rgb="FFF5F182"/>
    <pageSetUpPr fitToPage="1"/>
  </sheetPr>
  <dimension ref="A1:MF126"/>
  <sheetViews>
    <sheetView showGridLines="0" showRuler="0" zoomScaleNormal="100" zoomScalePageLayoutView="70" workbookViewId="0">
      <pane ySplit="6" topLeftCell="C80" activePane="bottomLeft" state="frozen"/>
      <selection pane="bottomLeft" activeCell="C80" sqref="C80"/>
    </sheetView>
  </sheetViews>
  <sheetFormatPr defaultColWidth="0" defaultRowHeight="0" customHeight="1" zeroHeight="1"/>
  <cols>
    <col min="1" max="1" width="2.7109375" style="45" customWidth="1"/>
    <col min="2" max="2" width="44.85546875" customWidth="1"/>
    <col min="3" max="3" width="31.42578125" customWidth="1"/>
    <col min="4" max="4" width="10.7109375" customWidth="1"/>
    <col min="5" max="5" width="10.42578125" style="5" customWidth="1"/>
    <col min="6" max="6" width="10.42578125" customWidth="1"/>
    <col min="7" max="7" width="2.7109375" customWidth="1"/>
    <col min="8" max="8" width="6.140625" hidden="1" customWidth="1"/>
    <col min="9" max="345" width="2.5703125" customWidth="1"/>
  </cols>
  <sheetData>
    <row r="1" spans="1:344" ht="42" customHeight="1">
      <c r="A1" s="46" t="s">
        <v>151</v>
      </c>
      <c r="B1" s="258" t="str">
        <f>'OKR '!C6</f>
        <v>MICRORREGIÃO BELO HORIZONTE/NOVA LIMA/SANTA LUZIA</v>
      </c>
      <c r="C1" s="258"/>
      <c r="D1" s="2"/>
      <c r="E1" s="4"/>
      <c r="F1" s="34"/>
      <c r="H1" s="2"/>
      <c r="I1" s="177" t="s">
        <v>152</v>
      </c>
      <c r="J1" s="178"/>
      <c r="K1" s="178"/>
      <c r="L1" s="178"/>
      <c r="M1" s="178"/>
      <c r="N1" s="178"/>
      <c r="O1" s="178"/>
      <c r="P1" s="178"/>
      <c r="Q1" s="178"/>
      <c r="R1" s="178"/>
      <c r="S1" s="178"/>
      <c r="T1" s="178"/>
      <c r="U1" s="178"/>
      <c r="V1" s="178"/>
      <c r="W1" s="178"/>
      <c r="X1" s="178"/>
      <c r="Y1" s="178"/>
      <c r="Z1" s="178"/>
      <c r="AA1" s="178"/>
      <c r="AB1" s="178"/>
      <c r="AC1" s="178"/>
      <c r="AD1" s="178"/>
      <c r="AE1" s="178"/>
    </row>
    <row r="2" spans="1:344" ht="14.25" customHeight="1">
      <c r="A2" s="45" t="s">
        <v>153</v>
      </c>
      <c r="B2" s="50"/>
      <c r="I2" s="179" t="s">
        <v>154</v>
      </c>
      <c r="J2" s="178"/>
      <c r="K2" s="178"/>
      <c r="L2" s="178"/>
      <c r="M2" s="178"/>
      <c r="N2" s="178"/>
      <c r="O2" s="178"/>
      <c r="P2" s="178"/>
      <c r="Q2" s="178"/>
      <c r="R2" s="178"/>
      <c r="S2" s="178"/>
      <c r="T2" s="178"/>
      <c r="U2" s="178"/>
      <c r="V2" s="178"/>
      <c r="W2" s="178"/>
      <c r="X2" s="178"/>
      <c r="Y2" s="178"/>
      <c r="Z2" s="178"/>
      <c r="AA2" s="178"/>
      <c r="AB2" s="178"/>
      <c r="AC2" s="178"/>
      <c r="AD2" s="178"/>
      <c r="AE2" s="178"/>
    </row>
    <row r="3" spans="1:344" ht="30" customHeight="1">
      <c r="A3" s="45" t="s">
        <v>155</v>
      </c>
      <c r="B3" s="51"/>
      <c r="C3" s="274" t="s">
        <v>156</v>
      </c>
      <c r="D3" s="275"/>
      <c r="E3" s="276">
        <v>46055</v>
      </c>
      <c r="F3" s="276"/>
    </row>
    <row r="4" spans="1:344" ht="30" customHeight="1">
      <c r="A4" s="46" t="s">
        <v>157</v>
      </c>
      <c r="C4" s="277" t="s">
        <v>158</v>
      </c>
      <c r="D4" s="278"/>
      <c r="E4" s="200">
        <v>1</v>
      </c>
      <c r="I4" s="255">
        <f>I5</f>
        <v>46055</v>
      </c>
      <c r="J4" s="256"/>
      <c r="K4" s="256"/>
      <c r="L4" s="256"/>
      <c r="M4" s="256"/>
      <c r="N4" s="256"/>
      <c r="O4" s="257"/>
      <c r="P4" s="255">
        <f>P5</f>
        <v>46062</v>
      </c>
      <c r="Q4" s="256"/>
      <c r="R4" s="256"/>
      <c r="S4" s="256"/>
      <c r="T4" s="256"/>
      <c r="U4" s="256"/>
      <c r="V4" s="257"/>
      <c r="W4" s="255">
        <f>W5</f>
        <v>46069</v>
      </c>
      <c r="X4" s="256"/>
      <c r="Y4" s="256"/>
      <c r="Z4" s="256"/>
      <c r="AA4" s="256"/>
      <c r="AB4" s="256"/>
      <c r="AC4" s="257"/>
      <c r="AD4" s="255">
        <f>AD5</f>
        <v>46076</v>
      </c>
      <c r="AE4" s="256"/>
      <c r="AF4" s="256"/>
      <c r="AG4" s="256"/>
      <c r="AH4" s="256"/>
      <c r="AI4" s="256"/>
      <c r="AJ4" s="257"/>
      <c r="AK4" s="255">
        <f>AK5</f>
        <v>46083</v>
      </c>
      <c r="AL4" s="256"/>
      <c r="AM4" s="256"/>
      <c r="AN4" s="256"/>
      <c r="AO4" s="256"/>
      <c r="AP4" s="256"/>
      <c r="AQ4" s="257"/>
      <c r="AR4" s="255">
        <f>AR5</f>
        <v>46090</v>
      </c>
      <c r="AS4" s="256"/>
      <c r="AT4" s="256"/>
      <c r="AU4" s="256"/>
      <c r="AV4" s="256"/>
      <c r="AW4" s="256"/>
      <c r="AX4" s="257"/>
      <c r="AY4" s="255">
        <f>AY5</f>
        <v>46097</v>
      </c>
      <c r="AZ4" s="256"/>
      <c r="BA4" s="256"/>
      <c r="BB4" s="256"/>
      <c r="BC4" s="256"/>
      <c r="BD4" s="256"/>
      <c r="BE4" s="257"/>
      <c r="BF4" s="255">
        <f>BF5</f>
        <v>46104</v>
      </c>
      <c r="BG4" s="256"/>
      <c r="BH4" s="256"/>
      <c r="BI4" s="256"/>
      <c r="BJ4" s="256"/>
      <c r="BK4" s="256"/>
      <c r="BL4" s="257"/>
      <c r="BM4" s="255">
        <f t="shared" ref="BM4" si="0">BM5</f>
        <v>46111</v>
      </c>
      <c r="BN4" s="256"/>
      <c r="BO4" s="256"/>
      <c r="BP4" s="256"/>
      <c r="BQ4" s="256"/>
      <c r="BR4" s="256"/>
      <c r="BS4" s="257"/>
      <c r="BT4" s="255">
        <f t="shared" ref="BT4" si="1">BT5</f>
        <v>46118</v>
      </c>
      <c r="BU4" s="256"/>
      <c r="BV4" s="256"/>
      <c r="BW4" s="256"/>
      <c r="BX4" s="256"/>
      <c r="BY4" s="256"/>
      <c r="BZ4" s="257"/>
      <c r="CA4" s="255">
        <f t="shared" ref="CA4" si="2">CA5</f>
        <v>46125</v>
      </c>
      <c r="CB4" s="256"/>
      <c r="CC4" s="256"/>
      <c r="CD4" s="256"/>
      <c r="CE4" s="256"/>
      <c r="CF4" s="256"/>
      <c r="CG4" s="257"/>
      <c r="CH4" s="255">
        <f t="shared" ref="CH4" si="3">CH5</f>
        <v>46132</v>
      </c>
      <c r="CI4" s="256"/>
      <c r="CJ4" s="256"/>
      <c r="CK4" s="256"/>
      <c r="CL4" s="256"/>
      <c r="CM4" s="256"/>
      <c r="CN4" s="257"/>
      <c r="CO4" s="255">
        <f t="shared" ref="CO4" si="4">CO5</f>
        <v>46139</v>
      </c>
      <c r="CP4" s="256"/>
      <c r="CQ4" s="256"/>
      <c r="CR4" s="256"/>
      <c r="CS4" s="256"/>
      <c r="CT4" s="256"/>
      <c r="CU4" s="257"/>
      <c r="CV4" s="255">
        <f t="shared" ref="CV4" si="5">CV5</f>
        <v>46146</v>
      </c>
      <c r="CW4" s="256"/>
      <c r="CX4" s="256"/>
      <c r="CY4" s="256"/>
      <c r="CZ4" s="256"/>
      <c r="DA4" s="256"/>
      <c r="DB4" s="257"/>
      <c r="DC4" s="255">
        <f t="shared" ref="DC4" si="6">DC5</f>
        <v>46153</v>
      </c>
      <c r="DD4" s="256"/>
      <c r="DE4" s="256"/>
      <c r="DF4" s="256"/>
      <c r="DG4" s="256"/>
      <c r="DH4" s="256"/>
      <c r="DI4" s="257"/>
      <c r="DJ4" s="255">
        <f t="shared" ref="DJ4" si="7">DJ5</f>
        <v>46160</v>
      </c>
      <c r="DK4" s="256"/>
      <c r="DL4" s="256"/>
      <c r="DM4" s="256"/>
      <c r="DN4" s="256"/>
      <c r="DO4" s="256"/>
      <c r="DP4" s="257"/>
      <c r="DQ4" s="255">
        <f t="shared" ref="DQ4" si="8">DQ5</f>
        <v>46167</v>
      </c>
      <c r="DR4" s="256"/>
      <c r="DS4" s="256"/>
      <c r="DT4" s="256"/>
      <c r="DU4" s="256"/>
      <c r="DV4" s="256"/>
      <c r="DW4" s="257"/>
      <c r="DX4" s="255">
        <f t="shared" ref="DX4" si="9">DX5</f>
        <v>46174</v>
      </c>
      <c r="DY4" s="256"/>
      <c r="DZ4" s="256"/>
      <c r="EA4" s="256"/>
      <c r="EB4" s="256"/>
      <c r="EC4" s="256"/>
      <c r="ED4" s="257"/>
      <c r="EE4" s="255">
        <f t="shared" ref="EE4" si="10">EE5</f>
        <v>46181</v>
      </c>
      <c r="EF4" s="256"/>
      <c r="EG4" s="256"/>
      <c r="EH4" s="256"/>
      <c r="EI4" s="256"/>
      <c r="EJ4" s="256"/>
      <c r="EK4" s="257"/>
      <c r="EL4" s="255">
        <f t="shared" ref="EL4" si="11">EL5</f>
        <v>46188</v>
      </c>
      <c r="EM4" s="256"/>
      <c r="EN4" s="256"/>
      <c r="EO4" s="256"/>
      <c r="EP4" s="256"/>
      <c r="EQ4" s="256"/>
      <c r="ER4" s="257"/>
      <c r="ES4" s="255">
        <f t="shared" ref="ES4" si="12">ES5</f>
        <v>46195</v>
      </c>
      <c r="ET4" s="256"/>
      <c r="EU4" s="256"/>
      <c r="EV4" s="256"/>
      <c r="EW4" s="256"/>
      <c r="EX4" s="256"/>
      <c r="EY4" s="257"/>
      <c r="EZ4" s="255">
        <f t="shared" ref="EZ4" si="13">EZ5</f>
        <v>46202</v>
      </c>
      <c r="FA4" s="256"/>
      <c r="FB4" s="256"/>
      <c r="FC4" s="256"/>
      <c r="FD4" s="256"/>
      <c r="FE4" s="256"/>
      <c r="FF4" s="257"/>
      <c r="FG4" s="255">
        <f t="shared" ref="FG4" si="14">FG5</f>
        <v>46209</v>
      </c>
      <c r="FH4" s="256"/>
      <c r="FI4" s="256"/>
      <c r="FJ4" s="256"/>
      <c r="FK4" s="256"/>
      <c r="FL4" s="256"/>
      <c r="FM4" s="257"/>
      <c r="FN4" s="255">
        <f t="shared" ref="FN4" si="15">FN5</f>
        <v>46216</v>
      </c>
      <c r="FO4" s="256"/>
      <c r="FP4" s="256"/>
      <c r="FQ4" s="256"/>
      <c r="FR4" s="256"/>
      <c r="FS4" s="256"/>
      <c r="FT4" s="257"/>
      <c r="FU4" s="255">
        <f t="shared" ref="FU4" si="16">FU5</f>
        <v>46223</v>
      </c>
      <c r="FV4" s="256"/>
      <c r="FW4" s="256"/>
      <c r="FX4" s="256"/>
      <c r="FY4" s="256"/>
      <c r="FZ4" s="256"/>
      <c r="GA4" s="257"/>
      <c r="GB4" s="255">
        <f t="shared" ref="GB4" si="17">GB5</f>
        <v>46230</v>
      </c>
      <c r="GC4" s="256"/>
      <c r="GD4" s="256"/>
      <c r="GE4" s="256"/>
      <c r="GF4" s="256"/>
      <c r="GG4" s="256"/>
      <c r="GH4" s="257"/>
      <c r="GI4" s="255">
        <f t="shared" ref="GI4" si="18">GI5</f>
        <v>46237</v>
      </c>
      <c r="GJ4" s="256"/>
      <c r="GK4" s="256"/>
      <c r="GL4" s="256"/>
      <c r="GM4" s="256"/>
      <c r="GN4" s="256"/>
      <c r="GO4" s="257"/>
      <c r="GP4" s="255">
        <f t="shared" ref="GP4" si="19">GP5</f>
        <v>46244</v>
      </c>
      <c r="GQ4" s="256"/>
      <c r="GR4" s="256"/>
      <c r="GS4" s="256"/>
      <c r="GT4" s="256"/>
      <c r="GU4" s="256"/>
      <c r="GV4" s="257"/>
      <c r="GW4" s="255">
        <f t="shared" ref="GW4" si="20">GW5</f>
        <v>46251</v>
      </c>
      <c r="GX4" s="256"/>
      <c r="GY4" s="256"/>
      <c r="GZ4" s="256"/>
      <c r="HA4" s="256"/>
      <c r="HB4" s="256"/>
      <c r="HC4" s="257"/>
      <c r="HD4" s="255">
        <f t="shared" ref="HD4" si="21">HD5</f>
        <v>46258</v>
      </c>
      <c r="HE4" s="256"/>
      <c r="HF4" s="256"/>
      <c r="HG4" s="256"/>
      <c r="HH4" s="256"/>
      <c r="HI4" s="256"/>
      <c r="HJ4" s="257"/>
      <c r="HK4" s="255">
        <f t="shared" ref="HK4" si="22">HK5</f>
        <v>46265</v>
      </c>
      <c r="HL4" s="256"/>
      <c r="HM4" s="256"/>
      <c r="HN4" s="256"/>
      <c r="HO4" s="256"/>
      <c r="HP4" s="256"/>
      <c r="HQ4" s="257"/>
      <c r="HR4" s="255">
        <f t="shared" ref="HR4" si="23">HR5</f>
        <v>46272</v>
      </c>
      <c r="HS4" s="256"/>
      <c r="HT4" s="256"/>
      <c r="HU4" s="256"/>
      <c r="HV4" s="256"/>
      <c r="HW4" s="256"/>
      <c r="HX4" s="257"/>
      <c r="HY4" s="255">
        <f t="shared" ref="HY4" si="24">HY5</f>
        <v>46279</v>
      </c>
      <c r="HZ4" s="256"/>
      <c r="IA4" s="256"/>
      <c r="IB4" s="256"/>
      <c r="IC4" s="256"/>
      <c r="ID4" s="256"/>
      <c r="IE4" s="257"/>
      <c r="IF4" s="255">
        <f t="shared" ref="IF4" si="25">IF5</f>
        <v>46286</v>
      </c>
      <c r="IG4" s="256"/>
      <c r="IH4" s="256"/>
      <c r="II4" s="256"/>
      <c r="IJ4" s="256"/>
      <c r="IK4" s="256"/>
      <c r="IL4" s="257"/>
      <c r="IM4" s="255">
        <f t="shared" ref="IM4" si="26">IM5</f>
        <v>46293</v>
      </c>
      <c r="IN4" s="256"/>
      <c r="IO4" s="256"/>
      <c r="IP4" s="256"/>
      <c r="IQ4" s="256"/>
      <c r="IR4" s="256"/>
      <c r="IS4" s="257"/>
      <c r="IT4" s="255">
        <f t="shared" ref="IT4" si="27">IT5</f>
        <v>46300</v>
      </c>
      <c r="IU4" s="256"/>
      <c r="IV4" s="256"/>
      <c r="IW4" s="256"/>
      <c r="IX4" s="256"/>
      <c r="IY4" s="256"/>
      <c r="IZ4" s="257"/>
      <c r="JA4" s="255">
        <f t="shared" ref="JA4" si="28">JA5</f>
        <v>46307</v>
      </c>
      <c r="JB4" s="256"/>
      <c r="JC4" s="256"/>
      <c r="JD4" s="256"/>
      <c r="JE4" s="256"/>
      <c r="JF4" s="256"/>
      <c r="JG4" s="257"/>
      <c r="JH4" s="255">
        <f t="shared" ref="JH4" si="29">JH5</f>
        <v>46314</v>
      </c>
      <c r="JI4" s="256"/>
      <c r="JJ4" s="256"/>
      <c r="JK4" s="256"/>
      <c r="JL4" s="256"/>
      <c r="JM4" s="256"/>
      <c r="JN4" s="257"/>
      <c r="JO4" s="255">
        <f t="shared" ref="JO4" si="30">JO5</f>
        <v>46321</v>
      </c>
      <c r="JP4" s="256"/>
      <c r="JQ4" s="256"/>
      <c r="JR4" s="256"/>
      <c r="JS4" s="256"/>
      <c r="JT4" s="256"/>
      <c r="JU4" s="257"/>
      <c r="JV4" s="255">
        <f t="shared" ref="JV4" si="31">JV5</f>
        <v>46328</v>
      </c>
      <c r="JW4" s="256"/>
      <c r="JX4" s="256"/>
      <c r="JY4" s="256"/>
      <c r="JZ4" s="256"/>
      <c r="KA4" s="256"/>
      <c r="KB4" s="257"/>
      <c r="KC4" s="255">
        <f t="shared" ref="KC4" si="32">KC5</f>
        <v>46335</v>
      </c>
      <c r="KD4" s="256"/>
      <c r="KE4" s="256"/>
      <c r="KF4" s="256"/>
      <c r="KG4" s="256"/>
      <c r="KH4" s="256"/>
      <c r="KI4" s="257"/>
      <c r="KJ4" s="255">
        <f t="shared" ref="KJ4" si="33">KJ5</f>
        <v>46342</v>
      </c>
      <c r="KK4" s="256"/>
      <c r="KL4" s="256"/>
      <c r="KM4" s="256"/>
      <c r="KN4" s="256"/>
      <c r="KO4" s="256"/>
      <c r="KP4" s="257"/>
      <c r="KQ4" s="255">
        <f t="shared" ref="KQ4" si="34">KQ5</f>
        <v>46349</v>
      </c>
      <c r="KR4" s="256"/>
      <c r="KS4" s="256"/>
      <c r="KT4" s="256"/>
      <c r="KU4" s="256"/>
      <c r="KV4" s="256"/>
      <c r="KW4" s="257"/>
      <c r="KX4" s="255">
        <f t="shared" ref="KX4" si="35">KX5</f>
        <v>46356</v>
      </c>
      <c r="KY4" s="256"/>
      <c r="KZ4" s="256"/>
      <c r="LA4" s="256"/>
      <c r="LB4" s="256"/>
      <c r="LC4" s="256"/>
      <c r="LD4" s="257"/>
      <c r="LE4" s="255">
        <f t="shared" ref="LE4" si="36">LE5</f>
        <v>46363</v>
      </c>
      <c r="LF4" s="256"/>
      <c r="LG4" s="256"/>
      <c r="LH4" s="256"/>
      <c r="LI4" s="256"/>
      <c r="LJ4" s="256"/>
      <c r="LK4" s="257"/>
      <c r="LL4" s="255">
        <f t="shared" ref="LL4" si="37">LL5</f>
        <v>46370</v>
      </c>
      <c r="LM4" s="256"/>
      <c r="LN4" s="256"/>
      <c r="LO4" s="256"/>
      <c r="LP4" s="256"/>
      <c r="LQ4" s="256"/>
      <c r="LR4" s="257"/>
      <c r="LS4" s="255">
        <f t="shared" ref="LS4" si="38">LS5</f>
        <v>46377</v>
      </c>
      <c r="LT4" s="256"/>
      <c r="LU4" s="256"/>
      <c r="LV4" s="256"/>
      <c r="LW4" s="256"/>
      <c r="LX4" s="256"/>
      <c r="LY4" s="257"/>
      <c r="LZ4" s="255">
        <f t="shared" ref="LZ4" si="39">LZ5</f>
        <v>46384</v>
      </c>
      <c r="MA4" s="256"/>
      <c r="MB4" s="256"/>
      <c r="MC4" s="256"/>
      <c r="MD4" s="256"/>
      <c r="ME4" s="256"/>
      <c r="MF4" s="257"/>
    </row>
    <row r="5" spans="1:344" ht="15" hidden="1" customHeight="1">
      <c r="A5" s="46" t="s">
        <v>159</v>
      </c>
      <c r="B5" s="66"/>
      <c r="C5" s="66"/>
      <c r="D5" s="66"/>
      <c r="E5" s="66"/>
      <c r="F5" s="66"/>
      <c r="G5" s="66"/>
      <c r="I5" s="197">
        <f>Início_do_projeto-WEEKDAY(Início_do_projeto,1)+2+7*(Semana_de_exibição-1)</f>
        <v>46055</v>
      </c>
      <c r="J5" s="198">
        <f>I5+1</f>
        <v>46056</v>
      </c>
      <c r="K5" s="198">
        <f t="shared" ref="K5:AX5" si="40">J5+1</f>
        <v>46057</v>
      </c>
      <c r="L5" s="198">
        <f t="shared" si="40"/>
        <v>46058</v>
      </c>
      <c r="M5" s="198">
        <f t="shared" si="40"/>
        <v>46059</v>
      </c>
      <c r="N5" s="198">
        <f t="shared" si="40"/>
        <v>46060</v>
      </c>
      <c r="O5" s="199">
        <f t="shared" si="40"/>
        <v>46061</v>
      </c>
      <c r="P5" s="197">
        <f>O5+1</f>
        <v>46062</v>
      </c>
      <c r="Q5" s="198">
        <f>P5+1</f>
        <v>46063</v>
      </c>
      <c r="R5" s="198">
        <f t="shared" si="40"/>
        <v>46064</v>
      </c>
      <c r="S5" s="198">
        <f t="shared" si="40"/>
        <v>46065</v>
      </c>
      <c r="T5" s="198">
        <f t="shared" si="40"/>
        <v>46066</v>
      </c>
      <c r="U5" s="198">
        <f t="shared" si="40"/>
        <v>46067</v>
      </c>
      <c r="V5" s="199">
        <f t="shared" si="40"/>
        <v>46068</v>
      </c>
      <c r="W5" s="197">
        <f>V5+1</f>
        <v>46069</v>
      </c>
      <c r="X5" s="198">
        <f>W5+1</f>
        <v>46070</v>
      </c>
      <c r="Y5" s="198">
        <f t="shared" si="40"/>
        <v>46071</v>
      </c>
      <c r="Z5" s="198">
        <f t="shared" si="40"/>
        <v>46072</v>
      </c>
      <c r="AA5" s="198">
        <f t="shared" si="40"/>
        <v>46073</v>
      </c>
      <c r="AB5" s="198">
        <f t="shared" si="40"/>
        <v>46074</v>
      </c>
      <c r="AC5" s="199">
        <f t="shared" si="40"/>
        <v>46075</v>
      </c>
      <c r="AD5" s="197">
        <f>AC5+1</f>
        <v>46076</v>
      </c>
      <c r="AE5" s="198">
        <f>AD5+1</f>
        <v>46077</v>
      </c>
      <c r="AF5" s="198">
        <f t="shared" si="40"/>
        <v>46078</v>
      </c>
      <c r="AG5" s="198">
        <f t="shared" si="40"/>
        <v>46079</v>
      </c>
      <c r="AH5" s="198">
        <f t="shared" si="40"/>
        <v>46080</v>
      </c>
      <c r="AI5" s="198">
        <f t="shared" si="40"/>
        <v>46081</v>
      </c>
      <c r="AJ5" s="199">
        <f t="shared" si="40"/>
        <v>46082</v>
      </c>
      <c r="AK5" s="197">
        <f>AJ5+1</f>
        <v>46083</v>
      </c>
      <c r="AL5" s="198">
        <f>AK5+1</f>
        <v>46084</v>
      </c>
      <c r="AM5" s="198">
        <f t="shared" si="40"/>
        <v>46085</v>
      </c>
      <c r="AN5" s="198">
        <f t="shared" si="40"/>
        <v>46086</v>
      </c>
      <c r="AO5" s="198">
        <f t="shared" si="40"/>
        <v>46087</v>
      </c>
      <c r="AP5" s="198">
        <f t="shared" si="40"/>
        <v>46088</v>
      </c>
      <c r="AQ5" s="199">
        <f t="shared" si="40"/>
        <v>46089</v>
      </c>
      <c r="AR5" s="197">
        <f>AQ5+1</f>
        <v>46090</v>
      </c>
      <c r="AS5" s="198">
        <f>AR5+1</f>
        <v>46091</v>
      </c>
      <c r="AT5" s="198">
        <f t="shared" si="40"/>
        <v>46092</v>
      </c>
      <c r="AU5" s="198">
        <f t="shared" si="40"/>
        <v>46093</v>
      </c>
      <c r="AV5" s="198">
        <f t="shared" si="40"/>
        <v>46094</v>
      </c>
      <c r="AW5" s="198">
        <f t="shared" si="40"/>
        <v>46095</v>
      </c>
      <c r="AX5" s="199">
        <f t="shared" si="40"/>
        <v>46096</v>
      </c>
      <c r="AY5" s="197">
        <f>AX5+1</f>
        <v>46097</v>
      </c>
      <c r="AZ5" s="198">
        <f>AY5+1</f>
        <v>46098</v>
      </c>
      <c r="BA5" s="198">
        <f t="shared" ref="BA5:BE5" si="41">AZ5+1</f>
        <v>46099</v>
      </c>
      <c r="BB5" s="198">
        <f t="shared" si="41"/>
        <v>46100</v>
      </c>
      <c r="BC5" s="198">
        <f t="shared" si="41"/>
        <v>46101</v>
      </c>
      <c r="BD5" s="198">
        <f t="shared" si="41"/>
        <v>46102</v>
      </c>
      <c r="BE5" s="199">
        <f t="shared" si="41"/>
        <v>46103</v>
      </c>
      <c r="BF5" s="197">
        <f>BE5+1</f>
        <v>46104</v>
      </c>
      <c r="BG5" s="198">
        <f>BF5+1</f>
        <v>46105</v>
      </c>
      <c r="BH5" s="198">
        <f t="shared" ref="BH5:BL5" si="42">BG5+1</f>
        <v>46106</v>
      </c>
      <c r="BI5" s="198">
        <f t="shared" si="42"/>
        <v>46107</v>
      </c>
      <c r="BJ5" s="198">
        <f t="shared" si="42"/>
        <v>46108</v>
      </c>
      <c r="BK5" s="198">
        <f t="shared" si="42"/>
        <v>46109</v>
      </c>
      <c r="BL5" s="199">
        <f t="shared" si="42"/>
        <v>46110</v>
      </c>
      <c r="BM5" s="199">
        <f t="shared" ref="BM5" si="43">BL5+1</f>
        <v>46111</v>
      </c>
      <c r="BN5" s="199">
        <f t="shared" ref="BN5" si="44">BM5+1</f>
        <v>46112</v>
      </c>
      <c r="BO5" s="199">
        <f t="shared" ref="BO5" si="45">BN5+1</f>
        <v>46113</v>
      </c>
      <c r="BP5" s="199">
        <f t="shared" ref="BP5" si="46">BO5+1</f>
        <v>46114</v>
      </c>
      <c r="BQ5" s="199">
        <f t="shared" ref="BQ5" si="47">BP5+1</f>
        <v>46115</v>
      </c>
      <c r="BR5" s="199">
        <f t="shared" ref="BR5" si="48">BQ5+1</f>
        <v>46116</v>
      </c>
      <c r="BS5" s="199">
        <f t="shared" ref="BS5" si="49">BR5+1</f>
        <v>46117</v>
      </c>
      <c r="BT5" s="199">
        <f t="shared" ref="BT5" si="50">BS5+1</f>
        <v>46118</v>
      </c>
      <c r="BU5" s="199">
        <f t="shared" ref="BU5" si="51">BT5+1</f>
        <v>46119</v>
      </c>
      <c r="BV5" s="199">
        <f t="shared" ref="BV5" si="52">BU5+1</f>
        <v>46120</v>
      </c>
      <c r="BW5" s="199">
        <f t="shared" ref="BW5" si="53">BV5+1</f>
        <v>46121</v>
      </c>
      <c r="BX5" s="199">
        <f t="shared" ref="BX5" si="54">BW5+1</f>
        <v>46122</v>
      </c>
      <c r="BY5" s="199">
        <f t="shared" ref="BY5" si="55">BX5+1</f>
        <v>46123</v>
      </c>
      <c r="BZ5" s="199">
        <f t="shared" ref="BZ5" si="56">BY5+1</f>
        <v>46124</v>
      </c>
      <c r="CA5" s="199">
        <f t="shared" ref="CA5" si="57">BZ5+1</f>
        <v>46125</v>
      </c>
      <c r="CB5" s="199">
        <f t="shared" ref="CB5" si="58">CA5+1</f>
        <v>46126</v>
      </c>
      <c r="CC5" s="199">
        <f t="shared" ref="CC5" si="59">CB5+1</f>
        <v>46127</v>
      </c>
      <c r="CD5" s="199">
        <f t="shared" ref="CD5" si="60">CC5+1</f>
        <v>46128</v>
      </c>
      <c r="CE5" s="199">
        <f t="shared" ref="CE5" si="61">CD5+1</f>
        <v>46129</v>
      </c>
      <c r="CF5" s="199">
        <f t="shared" ref="CF5" si="62">CE5+1</f>
        <v>46130</v>
      </c>
      <c r="CG5" s="199">
        <f t="shared" ref="CG5" si="63">CF5+1</f>
        <v>46131</v>
      </c>
      <c r="CH5" s="199">
        <f t="shared" ref="CH5" si="64">CG5+1</f>
        <v>46132</v>
      </c>
      <c r="CI5" s="199">
        <f t="shared" ref="CI5" si="65">CH5+1</f>
        <v>46133</v>
      </c>
      <c r="CJ5" s="199">
        <f t="shared" ref="CJ5" si="66">CI5+1</f>
        <v>46134</v>
      </c>
      <c r="CK5" s="199">
        <f t="shared" ref="CK5" si="67">CJ5+1</f>
        <v>46135</v>
      </c>
      <c r="CL5" s="199">
        <f t="shared" ref="CL5" si="68">CK5+1</f>
        <v>46136</v>
      </c>
      <c r="CM5" s="199">
        <f t="shared" ref="CM5" si="69">CL5+1</f>
        <v>46137</v>
      </c>
      <c r="CN5" s="199">
        <f t="shared" ref="CN5" si="70">CM5+1</f>
        <v>46138</v>
      </c>
      <c r="CO5" s="199">
        <f t="shared" ref="CO5" si="71">CN5+1</f>
        <v>46139</v>
      </c>
      <c r="CP5" s="199">
        <f t="shared" ref="CP5" si="72">CO5+1</f>
        <v>46140</v>
      </c>
      <c r="CQ5" s="199">
        <f t="shared" ref="CQ5" si="73">CP5+1</f>
        <v>46141</v>
      </c>
      <c r="CR5" s="199">
        <f t="shared" ref="CR5" si="74">CQ5+1</f>
        <v>46142</v>
      </c>
      <c r="CS5" s="199">
        <f t="shared" ref="CS5" si="75">CR5+1</f>
        <v>46143</v>
      </c>
      <c r="CT5" s="199">
        <f t="shared" ref="CT5" si="76">CS5+1</f>
        <v>46144</v>
      </c>
      <c r="CU5" s="199">
        <f t="shared" ref="CU5" si="77">CT5+1</f>
        <v>46145</v>
      </c>
      <c r="CV5" s="199">
        <f t="shared" ref="CV5" si="78">CU5+1</f>
        <v>46146</v>
      </c>
      <c r="CW5" s="199">
        <f t="shared" ref="CW5" si="79">CV5+1</f>
        <v>46147</v>
      </c>
      <c r="CX5" s="199">
        <f t="shared" ref="CX5" si="80">CW5+1</f>
        <v>46148</v>
      </c>
      <c r="CY5" s="199">
        <f t="shared" ref="CY5" si="81">CX5+1</f>
        <v>46149</v>
      </c>
      <c r="CZ5" s="199">
        <f t="shared" ref="CZ5" si="82">CY5+1</f>
        <v>46150</v>
      </c>
      <c r="DA5" s="199">
        <f t="shared" ref="DA5" si="83">CZ5+1</f>
        <v>46151</v>
      </c>
      <c r="DB5" s="199">
        <f t="shared" ref="DB5" si="84">DA5+1</f>
        <v>46152</v>
      </c>
      <c r="DC5" s="199">
        <f t="shared" ref="DC5" si="85">DB5+1</f>
        <v>46153</v>
      </c>
      <c r="DD5" s="199">
        <f t="shared" ref="DD5" si="86">DC5+1</f>
        <v>46154</v>
      </c>
      <c r="DE5" s="199">
        <f t="shared" ref="DE5" si="87">DD5+1</f>
        <v>46155</v>
      </c>
      <c r="DF5" s="199">
        <f t="shared" ref="DF5" si="88">DE5+1</f>
        <v>46156</v>
      </c>
      <c r="DG5" s="199">
        <f t="shared" ref="DG5" si="89">DF5+1</f>
        <v>46157</v>
      </c>
      <c r="DH5" s="199">
        <f t="shared" ref="DH5" si="90">DG5+1</f>
        <v>46158</v>
      </c>
      <c r="DI5" s="199">
        <f t="shared" ref="DI5" si="91">DH5+1</f>
        <v>46159</v>
      </c>
      <c r="DJ5" s="199">
        <f t="shared" ref="DJ5" si="92">DI5+1</f>
        <v>46160</v>
      </c>
      <c r="DK5" s="199">
        <f t="shared" ref="DK5" si="93">DJ5+1</f>
        <v>46161</v>
      </c>
      <c r="DL5" s="199">
        <f t="shared" ref="DL5" si="94">DK5+1</f>
        <v>46162</v>
      </c>
      <c r="DM5" s="199">
        <f t="shared" ref="DM5" si="95">DL5+1</f>
        <v>46163</v>
      </c>
      <c r="DN5" s="199">
        <f t="shared" ref="DN5" si="96">DM5+1</f>
        <v>46164</v>
      </c>
      <c r="DO5" s="199">
        <f t="shared" ref="DO5" si="97">DN5+1</f>
        <v>46165</v>
      </c>
      <c r="DP5" s="199">
        <f t="shared" ref="DP5" si="98">DO5+1</f>
        <v>46166</v>
      </c>
      <c r="DQ5" s="199">
        <f t="shared" ref="DQ5" si="99">DP5+1</f>
        <v>46167</v>
      </c>
      <c r="DR5" s="199">
        <f t="shared" ref="DR5" si="100">DQ5+1</f>
        <v>46168</v>
      </c>
      <c r="DS5" s="199">
        <f t="shared" ref="DS5" si="101">DR5+1</f>
        <v>46169</v>
      </c>
      <c r="DT5" s="199">
        <f t="shared" ref="DT5" si="102">DS5+1</f>
        <v>46170</v>
      </c>
      <c r="DU5" s="199">
        <f t="shared" ref="DU5" si="103">DT5+1</f>
        <v>46171</v>
      </c>
      <c r="DV5" s="199">
        <f t="shared" ref="DV5" si="104">DU5+1</f>
        <v>46172</v>
      </c>
      <c r="DW5" s="199">
        <f t="shared" ref="DW5" si="105">DV5+1</f>
        <v>46173</v>
      </c>
      <c r="DX5" s="199">
        <f t="shared" ref="DX5" si="106">DW5+1</f>
        <v>46174</v>
      </c>
      <c r="DY5" s="199">
        <f t="shared" ref="DY5" si="107">DX5+1</f>
        <v>46175</v>
      </c>
      <c r="DZ5" s="199">
        <f t="shared" ref="DZ5" si="108">DY5+1</f>
        <v>46176</v>
      </c>
      <c r="EA5" s="199">
        <f t="shared" ref="EA5" si="109">DZ5+1</f>
        <v>46177</v>
      </c>
      <c r="EB5" s="199">
        <f t="shared" ref="EB5" si="110">EA5+1</f>
        <v>46178</v>
      </c>
      <c r="EC5" s="199">
        <f t="shared" ref="EC5" si="111">EB5+1</f>
        <v>46179</v>
      </c>
      <c r="ED5" s="199">
        <f t="shared" ref="ED5" si="112">EC5+1</f>
        <v>46180</v>
      </c>
      <c r="EE5" s="199">
        <f t="shared" ref="EE5" si="113">ED5+1</f>
        <v>46181</v>
      </c>
      <c r="EF5" s="199">
        <f t="shared" ref="EF5" si="114">EE5+1</f>
        <v>46182</v>
      </c>
      <c r="EG5" s="199">
        <f t="shared" ref="EG5" si="115">EF5+1</f>
        <v>46183</v>
      </c>
      <c r="EH5" s="199">
        <f t="shared" ref="EH5" si="116">EG5+1</f>
        <v>46184</v>
      </c>
      <c r="EI5" s="199">
        <f t="shared" ref="EI5" si="117">EH5+1</f>
        <v>46185</v>
      </c>
      <c r="EJ5" s="199">
        <f t="shared" ref="EJ5" si="118">EI5+1</f>
        <v>46186</v>
      </c>
      <c r="EK5" s="199">
        <f t="shared" ref="EK5" si="119">EJ5+1</f>
        <v>46187</v>
      </c>
      <c r="EL5" s="199">
        <f t="shared" ref="EL5" si="120">EK5+1</f>
        <v>46188</v>
      </c>
      <c r="EM5" s="199">
        <f t="shared" ref="EM5" si="121">EL5+1</f>
        <v>46189</v>
      </c>
      <c r="EN5" s="199">
        <f t="shared" ref="EN5" si="122">EM5+1</f>
        <v>46190</v>
      </c>
      <c r="EO5" s="199">
        <f t="shared" ref="EO5" si="123">EN5+1</f>
        <v>46191</v>
      </c>
      <c r="EP5" s="199">
        <f t="shared" ref="EP5" si="124">EO5+1</f>
        <v>46192</v>
      </c>
      <c r="EQ5" s="199">
        <f t="shared" ref="EQ5" si="125">EP5+1</f>
        <v>46193</v>
      </c>
      <c r="ER5" s="199">
        <f t="shared" ref="ER5" si="126">EQ5+1</f>
        <v>46194</v>
      </c>
      <c r="ES5" s="199">
        <f t="shared" ref="ES5" si="127">ER5+1</f>
        <v>46195</v>
      </c>
      <c r="ET5" s="199">
        <f t="shared" ref="ET5" si="128">ES5+1</f>
        <v>46196</v>
      </c>
      <c r="EU5" s="199">
        <f t="shared" ref="EU5" si="129">ET5+1</f>
        <v>46197</v>
      </c>
      <c r="EV5" s="199">
        <f t="shared" ref="EV5" si="130">EU5+1</f>
        <v>46198</v>
      </c>
      <c r="EW5" s="199">
        <f t="shared" ref="EW5" si="131">EV5+1</f>
        <v>46199</v>
      </c>
      <c r="EX5" s="199">
        <f t="shared" ref="EX5" si="132">EW5+1</f>
        <v>46200</v>
      </c>
      <c r="EY5" s="199">
        <f t="shared" ref="EY5" si="133">EX5+1</f>
        <v>46201</v>
      </c>
      <c r="EZ5" s="199">
        <f t="shared" ref="EZ5" si="134">EY5+1</f>
        <v>46202</v>
      </c>
      <c r="FA5" s="199">
        <f t="shared" ref="FA5" si="135">EZ5+1</f>
        <v>46203</v>
      </c>
      <c r="FB5" s="199">
        <f t="shared" ref="FB5" si="136">FA5+1</f>
        <v>46204</v>
      </c>
      <c r="FC5" s="199">
        <f t="shared" ref="FC5" si="137">FB5+1</f>
        <v>46205</v>
      </c>
      <c r="FD5" s="199">
        <f t="shared" ref="FD5" si="138">FC5+1</f>
        <v>46206</v>
      </c>
      <c r="FE5" s="199">
        <f t="shared" ref="FE5" si="139">FD5+1</f>
        <v>46207</v>
      </c>
      <c r="FF5" s="199">
        <f t="shared" ref="FF5" si="140">FE5+1</f>
        <v>46208</v>
      </c>
      <c r="FG5" s="199">
        <f t="shared" ref="FG5" si="141">FF5+1</f>
        <v>46209</v>
      </c>
      <c r="FH5" s="199">
        <f t="shared" ref="FH5" si="142">FG5+1</f>
        <v>46210</v>
      </c>
      <c r="FI5" s="199">
        <f t="shared" ref="FI5" si="143">FH5+1</f>
        <v>46211</v>
      </c>
      <c r="FJ5" s="199">
        <f t="shared" ref="FJ5" si="144">FI5+1</f>
        <v>46212</v>
      </c>
      <c r="FK5" s="199">
        <f t="shared" ref="FK5" si="145">FJ5+1</f>
        <v>46213</v>
      </c>
      <c r="FL5" s="199">
        <f t="shared" ref="FL5" si="146">FK5+1</f>
        <v>46214</v>
      </c>
      <c r="FM5" s="199">
        <f t="shared" ref="FM5" si="147">FL5+1</f>
        <v>46215</v>
      </c>
      <c r="FN5" s="199">
        <f t="shared" ref="FN5" si="148">FM5+1</f>
        <v>46216</v>
      </c>
      <c r="FO5" s="199">
        <f t="shared" ref="FO5" si="149">FN5+1</f>
        <v>46217</v>
      </c>
      <c r="FP5" s="199">
        <f t="shared" ref="FP5" si="150">FO5+1</f>
        <v>46218</v>
      </c>
      <c r="FQ5" s="199">
        <f t="shared" ref="FQ5" si="151">FP5+1</f>
        <v>46219</v>
      </c>
      <c r="FR5" s="199">
        <f t="shared" ref="FR5" si="152">FQ5+1</f>
        <v>46220</v>
      </c>
      <c r="FS5" s="199">
        <f t="shared" ref="FS5" si="153">FR5+1</f>
        <v>46221</v>
      </c>
      <c r="FT5" s="199">
        <f t="shared" ref="FT5" si="154">FS5+1</f>
        <v>46222</v>
      </c>
      <c r="FU5" s="199">
        <f t="shared" ref="FU5" si="155">FT5+1</f>
        <v>46223</v>
      </c>
      <c r="FV5" s="199">
        <f t="shared" ref="FV5" si="156">FU5+1</f>
        <v>46224</v>
      </c>
      <c r="FW5" s="199">
        <f t="shared" ref="FW5" si="157">FV5+1</f>
        <v>46225</v>
      </c>
      <c r="FX5" s="199">
        <f t="shared" ref="FX5" si="158">FW5+1</f>
        <v>46226</v>
      </c>
      <c r="FY5" s="199">
        <f t="shared" ref="FY5" si="159">FX5+1</f>
        <v>46227</v>
      </c>
      <c r="FZ5" s="199">
        <f t="shared" ref="FZ5" si="160">FY5+1</f>
        <v>46228</v>
      </c>
      <c r="GA5" s="199">
        <f t="shared" ref="GA5" si="161">FZ5+1</f>
        <v>46229</v>
      </c>
      <c r="GB5" s="199">
        <f t="shared" ref="GB5" si="162">GA5+1</f>
        <v>46230</v>
      </c>
      <c r="GC5" s="199">
        <f t="shared" ref="GC5" si="163">GB5+1</f>
        <v>46231</v>
      </c>
      <c r="GD5" s="199">
        <f t="shared" ref="GD5" si="164">GC5+1</f>
        <v>46232</v>
      </c>
      <c r="GE5" s="199">
        <f t="shared" ref="GE5" si="165">GD5+1</f>
        <v>46233</v>
      </c>
      <c r="GF5" s="199">
        <f t="shared" ref="GF5" si="166">GE5+1</f>
        <v>46234</v>
      </c>
      <c r="GG5" s="199">
        <f t="shared" ref="GG5" si="167">GF5+1</f>
        <v>46235</v>
      </c>
      <c r="GH5" s="199">
        <f t="shared" ref="GH5" si="168">GG5+1</f>
        <v>46236</v>
      </c>
      <c r="GI5" s="199">
        <f t="shared" ref="GI5" si="169">GH5+1</f>
        <v>46237</v>
      </c>
      <c r="GJ5" s="199">
        <f t="shared" ref="GJ5" si="170">GI5+1</f>
        <v>46238</v>
      </c>
      <c r="GK5" s="199">
        <f t="shared" ref="GK5" si="171">GJ5+1</f>
        <v>46239</v>
      </c>
      <c r="GL5" s="199">
        <f t="shared" ref="GL5" si="172">GK5+1</f>
        <v>46240</v>
      </c>
      <c r="GM5" s="199">
        <f t="shared" ref="GM5" si="173">GL5+1</f>
        <v>46241</v>
      </c>
      <c r="GN5" s="199">
        <f t="shared" ref="GN5" si="174">GM5+1</f>
        <v>46242</v>
      </c>
      <c r="GO5" s="199">
        <f t="shared" ref="GO5" si="175">GN5+1</f>
        <v>46243</v>
      </c>
      <c r="GP5" s="199">
        <f t="shared" ref="GP5" si="176">GO5+1</f>
        <v>46244</v>
      </c>
      <c r="GQ5" s="199">
        <f t="shared" ref="GQ5" si="177">GP5+1</f>
        <v>46245</v>
      </c>
      <c r="GR5" s="199">
        <f t="shared" ref="GR5" si="178">GQ5+1</f>
        <v>46246</v>
      </c>
      <c r="GS5" s="199">
        <f t="shared" ref="GS5" si="179">GR5+1</f>
        <v>46247</v>
      </c>
      <c r="GT5" s="199">
        <f t="shared" ref="GT5" si="180">GS5+1</f>
        <v>46248</v>
      </c>
      <c r="GU5" s="199">
        <f t="shared" ref="GU5" si="181">GT5+1</f>
        <v>46249</v>
      </c>
      <c r="GV5" s="199">
        <f t="shared" ref="GV5" si="182">GU5+1</f>
        <v>46250</v>
      </c>
      <c r="GW5" s="199">
        <f t="shared" ref="GW5" si="183">GV5+1</f>
        <v>46251</v>
      </c>
      <c r="GX5" s="199">
        <f t="shared" ref="GX5" si="184">GW5+1</f>
        <v>46252</v>
      </c>
      <c r="GY5" s="199">
        <f t="shared" ref="GY5" si="185">GX5+1</f>
        <v>46253</v>
      </c>
      <c r="GZ5" s="199">
        <f t="shared" ref="GZ5" si="186">GY5+1</f>
        <v>46254</v>
      </c>
      <c r="HA5" s="199">
        <f t="shared" ref="HA5" si="187">GZ5+1</f>
        <v>46255</v>
      </c>
      <c r="HB5" s="199">
        <f t="shared" ref="HB5" si="188">HA5+1</f>
        <v>46256</v>
      </c>
      <c r="HC5" s="199">
        <f t="shared" ref="HC5" si="189">HB5+1</f>
        <v>46257</v>
      </c>
      <c r="HD5" s="199">
        <f t="shared" ref="HD5" si="190">HC5+1</f>
        <v>46258</v>
      </c>
      <c r="HE5" s="199">
        <f t="shared" ref="HE5" si="191">HD5+1</f>
        <v>46259</v>
      </c>
      <c r="HF5" s="199">
        <f t="shared" ref="HF5" si="192">HE5+1</f>
        <v>46260</v>
      </c>
      <c r="HG5" s="199">
        <f t="shared" ref="HG5" si="193">HF5+1</f>
        <v>46261</v>
      </c>
      <c r="HH5" s="199">
        <f t="shared" ref="HH5" si="194">HG5+1</f>
        <v>46262</v>
      </c>
      <c r="HI5" s="199">
        <f t="shared" ref="HI5" si="195">HH5+1</f>
        <v>46263</v>
      </c>
      <c r="HJ5" s="199">
        <f t="shared" ref="HJ5" si="196">HI5+1</f>
        <v>46264</v>
      </c>
      <c r="HK5" s="199">
        <f t="shared" ref="HK5" si="197">HJ5+1</f>
        <v>46265</v>
      </c>
      <c r="HL5" s="199">
        <f t="shared" ref="HL5" si="198">HK5+1</f>
        <v>46266</v>
      </c>
      <c r="HM5" s="199">
        <f t="shared" ref="HM5" si="199">HL5+1</f>
        <v>46267</v>
      </c>
      <c r="HN5" s="199">
        <f t="shared" ref="HN5" si="200">HM5+1</f>
        <v>46268</v>
      </c>
      <c r="HO5" s="199">
        <f t="shared" ref="HO5" si="201">HN5+1</f>
        <v>46269</v>
      </c>
      <c r="HP5" s="199">
        <f t="shared" ref="HP5" si="202">HO5+1</f>
        <v>46270</v>
      </c>
      <c r="HQ5" s="199">
        <f t="shared" ref="HQ5" si="203">HP5+1</f>
        <v>46271</v>
      </c>
      <c r="HR5" s="199">
        <f t="shared" ref="HR5" si="204">HQ5+1</f>
        <v>46272</v>
      </c>
      <c r="HS5" s="199">
        <f t="shared" ref="HS5" si="205">HR5+1</f>
        <v>46273</v>
      </c>
      <c r="HT5" s="199">
        <f t="shared" ref="HT5" si="206">HS5+1</f>
        <v>46274</v>
      </c>
      <c r="HU5" s="199">
        <f t="shared" ref="HU5" si="207">HT5+1</f>
        <v>46275</v>
      </c>
      <c r="HV5" s="199">
        <f t="shared" ref="HV5" si="208">HU5+1</f>
        <v>46276</v>
      </c>
      <c r="HW5" s="199">
        <f t="shared" ref="HW5" si="209">HV5+1</f>
        <v>46277</v>
      </c>
      <c r="HX5" s="199">
        <f t="shared" ref="HX5" si="210">HW5+1</f>
        <v>46278</v>
      </c>
      <c r="HY5" s="199">
        <f t="shared" ref="HY5" si="211">HX5+1</f>
        <v>46279</v>
      </c>
      <c r="HZ5" s="199">
        <f t="shared" ref="HZ5" si="212">HY5+1</f>
        <v>46280</v>
      </c>
      <c r="IA5" s="199">
        <f t="shared" ref="IA5" si="213">HZ5+1</f>
        <v>46281</v>
      </c>
      <c r="IB5" s="199">
        <f t="shared" ref="IB5" si="214">IA5+1</f>
        <v>46282</v>
      </c>
      <c r="IC5" s="199">
        <f t="shared" ref="IC5" si="215">IB5+1</f>
        <v>46283</v>
      </c>
      <c r="ID5" s="199">
        <f t="shared" ref="ID5" si="216">IC5+1</f>
        <v>46284</v>
      </c>
      <c r="IE5" s="199">
        <f t="shared" ref="IE5" si="217">ID5+1</f>
        <v>46285</v>
      </c>
      <c r="IF5" s="199">
        <f t="shared" ref="IF5" si="218">IE5+1</f>
        <v>46286</v>
      </c>
      <c r="IG5" s="199">
        <f t="shared" ref="IG5" si="219">IF5+1</f>
        <v>46287</v>
      </c>
      <c r="IH5" s="199">
        <f t="shared" ref="IH5" si="220">IG5+1</f>
        <v>46288</v>
      </c>
      <c r="II5" s="199">
        <f t="shared" ref="II5" si="221">IH5+1</f>
        <v>46289</v>
      </c>
      <c r="IJ5" s="199">
        <f t="shared" ref="IJ5" si="222">II5+1</f>
        <v>46290</v>
      </c>
      <c r="IK5" s="199">
        <f t="shared" ref="IK5" si="223">IJ5+1</f>
        <v>46291</v>
      </c>
      <c r="IL5" s="199">
        <f t="shared" ref="IL5" si="224">IK5+1</f>
        <v>46292</v>
      </c>
      <c r="IM5" s="199">
        <f t="shared" ref="IM5" si="225">IL5+1</f>
        <v>46293</v>
      </c>
      <c r="IN5" s="199">
        <f t="shared" ref="IN5" si="226">IM5+1</f>
        <v>46294</v>
      </c>
      <c r="IO5" s="199">
        <f t="shared" ref="IO5" si="227">IN5+1</f>
        <v>46295</v>
      </c>
      <c r="IP5" s="199">
        <f t="shared" ref="IP5" si="228">IO5+1</f>
        <v>46296</v>
      </c>
      <c r="IQ5" s="199">
        <f t="shared" ref="IQ5" si="229">IP5+1</f>
        <v>46297</v>
      </c>
      <c r="IR5" s="199">
        <f t="shared" ref="IR5" si="230">IQ5+1</f>
        <v>46298</v>
      </c>
      <c r="IS5" s="199">
        <f t="shared" ref="IS5" si="231">IR5+1</f>
        <v>46299</v>
      </c>
      <c r="IT5" s="199">
        <f t="shared" ref="IT5" si="232">IS5+1</f>
        <v>46300</v>
      </c>
      <c r="IU5" s="199">
        <f t="shared" ref="IU5" si="233">IT5+1</f>
        <v>46301</v>
      </c>
      <c r="IV5" s="199">
        <f t="shared" ref="IV5" si="234">IU5+1</f>
        <v>46302</v>
      </c>
      <c r="IW5" s="199">
        <f t="shared" ref="IW5" si="235">IV5+1</f>
        <v>46303</v>
      </c>
      <c r="IX5" s="199">
        <f t="shared" ref="IX5" si="236">IW5+1</f>
        <v>46304</v>
      </c>
      <c r="IY5" s="199">
        <f t="shared" ref="IY5" si="237">IX5+1</f>
        <v>46305</v>
      </c>
      <c r="IZ5" s="199">
        <f t="shared" ref="IZ5" si="238">IY5+1</f>
        <v>46306</v>
      </c>
      <c r="JA5" s="199">
        <f t="shared" ref="JA5" si="239">IZ5+1</f>
        <v>46307</v>
      </c>
      <c r="JB5" s="199">
        <f t="shared" ref="JB5" si="240">JA5+1</f>
        <v>46308</v>
      </c>
      <c r="JC5" s="199">
        <f t="shared" ref="JC5" si="241">JB5+1</f>
        <v>46309</v>
      </c>
      <c r="JD5" s="199">
        <f t="shared" ref="JD5" si="242">JC5+1</f>
        <v>46310</v>
      </c>
      <c r="JE5" s="199">
        <f t="shared" ref="JE5" si="243">JD5+1</f>
        <v>46311</v>
      </c>
      <c r="JF5" s="199">
        <f t="shared" ref="JF5" si="244">JE5+1</f>
        <v>46312</v>
      </c>
      <c r="JG5" s="199">
        <f t="shared" ref="JG5" si="245">JF5+1</f>
        <v>46313</v>
      </c>
      <c r="JH5" s="199">
        <f t="shared" ref="JH5" si="246">JG5+1</f>
        <v>46314</v>
      </c>
      <c r="JI5" s="199">
        <f t="shared" ref="JI5" si="247">JH5+1</f>
        <v>46315</v>
      </c>
      <c r="JJ5" s="199">
        <f t="shared" ref="JJ5" si="248">JI5+1</f>
        <v>46316</v>
      </c>
      <c r="JK5" s="199">
        <f t="shared" ref="JK5" si="249">JJ5+1</f>
        <v>46317</v>
      </c>
      <c r="JL5" s="199">
        <f t="shared" ref="JL5" si="250">JK5+1</f>
        <v>46318</v>
      </c>
      <c r="JM5" s="199">
        <f t="shared" ref="JM5" si="251">JL5+1</f>
        <v>46319</v>
      </c>
      <c r="JN5" s="199">
        <f t="shared" ref="JN5" si="252">JM5+1</f>
        <v>46320</v>
      </c>
      <c r="JO5" s="199">
        <f t="shared" ref="JO5" si="253">JN5+1</f>
        <v>46321</v>
      </c>
      <c r="JP5" s="199">
        <f t="shared" ref="JP5" si="254">JO5+1</f>
        <v>46322</v>
      </c>
      <c r="JQ5" s="199">
        <f t="shared" ref="JQ5" si="255">JP5+1</f>
        <v>46323</v>
      </c>
      <c r="JR5" s="199">
        <f t="shared" ref="JR5" si="256">JQ5+1</f>
        <v>46324</v>
      </c>
      <c r="JS5" s="199">
        <f t="shared" ref="JS5" si="257">JR5+1</f>
        <v>46325</v>
      </c>
      <c r="JT5" s="199">
        <f t="shared" ref="JT5" si="258">JS5+1</f>
        <v>46326</v>
      </c>
      <c r="JU5" s="199">
        <f t="shared" ref="JU5" si="259">JT5+1</f>
        <v>46327</v>
      </c>
      <c r="JV5" s="199">
        <f t="shared" ref="JV5" si="260">JU5+1</f>
        <v>46328</v>
      </c>
      <c r="JW5" s="199">
        <f t="shared" ref="JW5" si="261">JV5+1</f>
        <v>46329</v>
      </c>
      <c r="JX5" s="199">
        <f t="shared" ref="JX5" si="262">JW5+1</f>
        <v>46330</v>
      </c>
      <c r="JY5" s="199">
        <f t="shared" ref="JY5" si="263">JX5+1</f>
        <v>46331</v>
      </c>
      <c r="JZ5" s="199">
        <f t="shared" ref="JZ5" si="264">JY5+1</f>
        <v>46332</v>
      </c>
      <c r="KA5" s="199">
        <f t="shared" ref="KA5" si="265">JZ5+1</f>
        <v>46333</v>
      </c>
      <c r="KB5" s="199">
        <f t="shared" ref="KB5" si="266">KA5+1</f>
        <v>46334</v>
      </c>
      <c r="KC5" s="199">
        <f t="shared" ref="KC5" si="267">KB5+1</f>
        <v>46335</v>
      </c>
      <c r="KD5" s="199">
        <f t="shared" ref="KD5" si="268">KC5+1</f>
        <v>46336</v>
      </c>
      <c r="KE5" s="199">
        <f t="shared" ref="KE5" si="269">KD5+1</f>
        <v>46337</v>
      </c>
      <c r="KF5" s="199">
        <f t="shared" ref="KF5" si="270">KE5+1</f>
        <v>46338</v>
      </c>
      <c r="KG5" s="199">
        <f t="shared" ref="KG5" si="271">KF5+1</f>
        <v>46339</v>
      </c>
      <c r="KH5" s="199">
        <f t="shared" ref="KH5" si="272">KG5+1</f>
        <v>46340</v>
      </c>
      <c r="KI5" s="199">
        <f t="shared" ref="KI5" si="273">KH5+1</f>
        <v>46341</v>
      </c>
      <c r="KJ5" s="199">
        <f t="shared" ref="KJ5" si="274">KI5+1</f>
        <v>46342</v>
      </c>
      <c r="KK5" s="199">
        <f t="shared" ref="KK5" si="275">KJ5+1</f>
        <v>46343</v>
      </c>
      <c r="KL5" s="199">
        <f t="shared" ref="KL5" si="276">KK5+1</f>
        <v>46344</v>
      </c>
      <c r="KM5" s="199">
        <f t="shared" ref="KM5" si="277">KL5+1</f>
        <v>46345</v>
      </c>
      <c r="KN5" s="199">
        <f t="shared" ref="KN5" si="278">KM5+1</f>
        <v>46346</v>
      </c>
      <c r="KO5" s="199">
        <f t="shared" ref="KO5" si="279">KN5+1</f>
        <v>46347</v>
      </c>
      <c r="KP5" s="199">
        <f t="shared" ref="KP5" si="280">KO5+1</f>
        <v>46348</v>
      </c>
      <c r="KQ5" s="199">
        <f t="shared" ref="KQ5" si="281">KP5+1</f>
        <v>46349</v>
      </c>
      <c r="KR5" s="199">
        <f t="shared" ref="KR5" si="282">KQ5+1</f>
        <v>46350</v>
      </c>
      <c r="KS5" s="199">
        <f t="shared" ref="KS5" si="283">KR5+1</f>
        <v>46351</v>
      </c>
      <c r="KT5" s="199">
        <f t="shared" ref="KT5" si="284">KS5+1</f>
        <v>46352</v>
      </c>
      <c r="KU5" s="199">
        <f t="shared" ref="KU5" si="285">KT5+1</f>
        <v>46353</v>
      </c>
      <c r="KV5" s="199">
        <f t="shared" ref="KV5" si="286">KU5+1</f>
        <v>46354</v>
      </c>
      <c r="KW5" s="199">
        <f t="shared" ref="KW5" si="287">KV5+1</f>
        <v>46355</v>
      </c>
      <c r="KX5" s="199">
        <f t="shared" ref="KX5" si="288">KW5+1</f>
        <v>46356</v>
      </c>
      <c r="KY5" s="199">
        <f t="shared" ref="KY5" si="289">KX5+1</f>
        <v>46357</v>
      </c>
      <c r="KZ5" s="199">
        <f t="shared" ref="KZ5" si="290">KY5+1</f>
        <v>46358</v>
      </c>
      <c r="LA5" s="199">
        <f t="shared" ref="LA5" si="291">KZ5+1</f>
        <v>46359</v>
      </c>
      <c r="LB5" s="199">
        <f t="shared" ref="LB5" si="292">LA5+1</f>
        <v>46360</v>
      </c>
      <c r="LC5" s="199">
        <f t="shared" ref="LC5" si="293">LB5+1</f>
        <v>46361</v>
      </c>
      <c r="LD5" s="199">
        <f t="shared" ref="LD5" si="294">LC5+1</f>
        <v>46362</v>
      </c>
      <c r="LE5" s="199">
        <f t="shared" ref="LE5" si="295">LD5+1</f>
        <v>46363</v>
      </c>
      <c r="LF5" s="199">
        <f t="shared" ref="LF5" si="296">LE5+1</f>
        <v>46364</v>
      </c>
      <c r="LG5" s="199">
        <f t="shared" ref="LG5" si="297">LF5+1</f>
        <v>46365</v>
      </c>
      <c r="LH5" s="199">
        <f t="shared" ref="LH5" si="298">LG5+1</f>
        <v>46366</v>
      </c>
      <c r="LI5" s="199">
        <f t="shared" ref="LI5" si="299">LH5+1</f>
        <v>46367</v>
      </c>
      <c r="LJ5" s="199">
        <f t="shared" ref="LJ5" si="300">LI5+1</f>
        <v>46368</v>
      </c>
      <c r="LK5" s="199">
        <f t="shared" ref="LK5" si="301">LJ5+1</f>
        <v>46369</v>
      </c>
      <c r="LL5" s="199">
        <f t="shared" ref="LL5" si="302">LK5+1</f>
        <v>46370</v>
      </c>
      <c r="LM5" s="199">
        <f t="shared" ref="LM5" si="303">LL5+1</f>
        <v>46371</v>
      </c>
      <c r="LN5" s="199">
        <f t="shared" ref="LN5" si="304">LM5+1</f>
        <v>46372</v>
      </c>
      <c r="LO5" s="199">
        <f t="shared" ref="LO5" si="305">LN5+1</f>
        <v>46373</v>
      </c>
      <c r="LP5" s="199">
        <f t="shared" ref="LP5" si="306">LO5+1</f>
        <v>46374</v>
      </c>
      <c r="LQ5" s="199">
        <f t="shared" ref="LQ5" si="307">LP5+1</f>
        <v>46375</v>
      </c>
      <c r="LR5" s="199">
        <f t="shared" ref="LR5" si="308">LQ5+1</f>
        <v>46376</v>
      </c>
      <c r="LS5" s="199">
        <f t="shared" ref="LS5" si="309">LR5+1</f>
        <v>46377</v>
      </c>
      <c r="LT5" s="199">
        <f t="shared" ref="LT5" si="310">LS5+1</f>
        <v>46378</v>
      </c>
      <c r="LU5" s="199">
        <f t="shared" ref="LU5" si="311">LT5+1</f>
        <v>46379</v>
      </c>
      <c r="LV5" s="199">
        <f t="shared" ref="LV5" si="312">LU5+1</f>
        <v>46380</v>
      </c>
      <c r="LW5" s="199">
        <f t="shared" ref="LW5" si="313">LV5+1</f>
        <v>46381</v>
      </c>
      <c r="LX5" s="199">
        <f t="shared" ref="LX5" si="314">LW5+1</f>
        <v>46382</v>
      </c>
      <c r="LY5" s="199">
        <f t="shared" ref="LY5" si="315">LX5+1</f>
        <v>46383</v>
      </c>
      <c r="LZ5" s="199">
        <f t="shared" ref="LZ5" si="316">LY5+1</f>
        <v>46384</v>
      </c>
      <c r="MA5" s="199">
        <f t="shared" ref="MA5" si="317">LZ5+1</f>
        <v>46385</v>
      </c>
      <c r="MB5" s="199">
        <f t="shared" ref="MB5" si="318">MA5+1</f>
        <v>46386</v>
      </c>
      <c r="MC5" s="199">
        <f t="shared" ref="MC5" si="319">MB5+1</f>
        <v>46387</v>
      </c>
      <c r="MD5" s="199">
        <f t="shared" ref="MD5" si="320">MC5+1</f>
        <v>46388</v>
      </c>
      <c r="ME5" s="199">
        <f t="shared" ref="ME5" si="321">MD5+1</f>
        <v>46389</v>
      </c>
      <c r="MF5" s="199">
        <f t="shared" ref="MF5" si="322">ME5+1</f>
        <v>46390</v>
      </c>
    </row>
    <row r="6" spans="1:344" ht="45" customHeight="1">
      <c r="A6" s="46" t="s">
        <v>160</v>
      </c>
      <c r="B6" s="201" t="str">
        <f>'OKR '!D10</f>
        <v>Implementar um GT de Saúde Digital microrregional para formação dos profissionais de saúde</v>
      </c>
      <c r="C6" s="9" t="s">
        <v>13</v>
      </c>
      <c r="D6" s="9" t="s">
        <v>161</v>
      </c>
      <c r="E6" s="9" t="s">
        <v>162</v>
      </c>
      <c r="F6" s="9" t="s">
        <v>163</v>
      </c>
      <c r="G6" s="9"/>
      <c r="H6" s="9" t="s">
        <v>164</v>
      </c>
      <c r="I6" s="10" t="str">
        <f t="shared" ref="I6:BT6" si="323">LEFT(TEXT(I5,"ddd"),1)</f>
        <v>s</v>
      </c>
      <c r="J6" s="10" t="str">
        <f t="shared" si="323"/>
        <v>t</v>
      </c>
      <c r="K6" s="10" t="str">
        <f t="shared" si="323"/>
        <v>q</v>
      </c>
      <c r="L6" s="10" t="str">
        <f t="shared" si="323"/>
        <v>q</v>
      </c>
      <c r="M6" s="10" t="str">
        <f t="shared" si="323"/>
        <v>s</v>
      </c>
      <c r="N6" s="10" t="str">
        <f t="shared" si="323"/>
        <v>s</v>
      </c>
      <c r="O6" s="10" t="str">
        <f t="shared" si="323"/>
        <v>d</v>
      </c>
      <c r="P6" s="10" t="str">
        <f t="shared" si="323"/>
        <v>s</v>
      </c>
      <c r="Q6" s="10" t="str">
        <f t="shared" si="323"/>
        <v>t</v>
      </c>
      <c r="R6" s="10" t="str">
        <f t="shared" si="323"/>
        <v>q</v>
      </c>
      <c r="S6" s="10" t="str">
        <f t="shared" si="323"/>
        <v>q</v>
      </c>
      <c r="T6" s="10" t="str">
        <f t="shared" si="323"/>
        <v>s</v>
      </c>
      <c r="U6" s="10" t="str">
        <f t="shared" si="323"/>
        <v>s</v>
      </c>
      <c r="V6" s="10" t="str">
        <f t="shared" si="323"/>
        <v>d</v>
      </c>
      <c r="W6" s="10" t="str">
        <f t="shared" si="323"/>
        <v>s</v>
      </c>
      <c r="X6" s="10" t="str">
        <f t="shared" si="323"/>
        <v>t</v>
      </c>
      <c r="Y6" s="10" t="str">
        <f t="shared" si="323"/>
        <v>q</v>
      </c>
      <c r="Z6" s="10" t="str">
        <f t="shared" si="323"/>
        <v>q</v>
      </c>
      <c r="AA6" s="10" t="str">
        <f t="shared" si="323"/>
        <v>s</v>
      </c>
      <c r="AB6" s="10" t="str">
        <f t="shared" si="323"/>
        <v>s</v>
      </c>
      <c r="AC6" s="10" t="str">
        <f t="shared" si="323"/>
        <v>d</v>
      </c>
      <c r="AD6" s="10" t="str">
        <f t="shared" si="323"/>
        <v>s</v>
      </c>
      <c r="AE6" s="10" t="str">
        <f t="shared" si="323"/>
        <v>t</v>
      </c>
      <c r="AF6" s="10" t="str">
        <f t="shared" si="323"/>
        <v>q</v>
      </c>
      <c r="AG6" s="10" t="str">
        <f t="shared" si="323"/>
        <v>q</v>
      </c>
      <c r="AH6" s="10" t="str">
        <f t="shared" si="323"/>
        <v>s</v>
      </c>
      <c r="AI6" s="10" t="str">
        <f t="shared" si="323"/>
        <v>s</v>
      </c>
      <c r="AJ6" s="10" t="str">
        <f t="shared" si="323"/>
        <v>d</v>
      </c>
      <c r="AK6" s="10" t="str">
        <f t="shared" si="323"/>
        <v>s</v>
      </c>
      <c r="AL6" s="10" t="str">
        <f t="shared" si="323"/>
        <v>t</v>
      </c>
      <c r="AM6" s="10" t="str">
        <f t="shared" si="323"/>
        <v>q</v>
      </c>
      <c r="AN6" s="10" t="str">
        <f t="shared" si="323"/>
        <v>q</v>
      </c>
      <c r="AO6" s="10" t="str">
        <f t="shared" si="323"/>
        <v>s</v>
      </c>
      <c r="AP6" s="10" t="str">
        <f t="shared" si="323"/>
        <v>s</v>
      </c>
      <c r="AQ6" s="10" t="str">
        <f t="shared" si="323"/>
        <v>d</v>
      </c>
      <c r="AR6" s="10" t="str">
        <f t="shared" si="323"/>
        <v>s</v>
      </c>
      <c r="AS6" s="10" t="str">
        <f t="shared" si="323"/>
        <v>t</v>
      </c>
      <c r="AT6" s="10" t="str">
        <f t="shared" si="323"/>
        <v>q</v>
      </c>
      <c r="AU6" s="10" t="str">
        <f t="shared" si="323"/>
        <v>q</v>
      </c>
      <c r="AV6" s="10" t="str">
        <f t="shared" si="323"/>
        <v>s</v>
      </c>
      <c r="AW6" s="10" t="str">
        <f t="shared" si="323"/>
        <v>s</v>
      </c>
      <c r="AX6" s="10" t="str">
        <f t="shared" si="323"/>
        <v>d</v>
      </c>
      <c r="AY6" s="10" t="str">
        <f t="shared" si="323"/>
        <v>s</v>
      </c>
      <c r="AZ6" s="10" t="str">
        <f t="shared" si="323"/>
        <v>t</v>
      </c>
      <c r="BA6" s="10" t="str">
        <f t="shared" si="323"/>
        <v>q</v>
      </c>
      <c r="BB6" s="10" t="str">
        <f t="shared" si="323"/>
        <v>q</v>
      </c>
      <c r="BC6" s="10" t="str">
        <f t="shared" si="323"/>
        <v>s</v>
      </c>
      <c r="BD6" s="10" t="str">
        <f t="shared" si="323"/>
        <v>s</v>
      </c>
      <c r="BE6" s="10" t="str">
        <f t="shared" si="323"/>
        <v>d</v>
      </c>
      <c r="BF6" s="10" t="str">
        <f t="shared" si="323"/>
        <v>s</v>
      </c>
      <c r="BG6" s="10" t="str">
        <f t="shared" si="323"/>
        <v>t</v>
      </c>
      <c r="BH6" s="10" t="str">
        <f t="shared" si="323"/>
        <v>q</v>
      </c>
      <c r="BI6" s="10" t="str">
        <f t="shared" si="323"/>
        <v>q</v>
      </c>
      <c r="BJ6" s="10" t="str">
        <f t="shared" si="323"/>
        <v>s</v>
      </c>
      <c r="BK6" s="10" t="str">
        <f t="shared" si="323"/>
        <v>s</v>
      </c>
      <c r="BL6" s="10" t="str">
        <f t="shared" si="323"/>
        <v>d</v>
      </c>
      <c r="BM6" s="10" t="str">
        <f t="shared" si="323"/>
        <v>s</v>
      </c>
      <c r="BN6" s="10" t="str">
        <f t="shared" si="323"/>
        <v>t</v>
      </c>
      <c r="BO6" s="10" t="str">
        <f t="shared" si="323"/>
        <v>q</v>
      </c>
      <c r="BP6" s="10" t="str">
        <f t="shared" si="323"/>
        <v>q</v>
      </c>
      <c r="BQ6" s="10" t="str">
        <f t="shared" si="323"/>
        <v>s</v>
      </c>
      <c r="BR6" s="10" t="str">
        <f t="shared" si="323"/>
        <v>s</v>
      </c>
      <c r="BS6" s="10" t="str">
        <f t="shared" si="323"/>
        <v>d</v>
      </c>
      <c r="BT6" s="10" t="str">
        <f t="shared" si="323"/>
        <v>s</v>
      </c>
      <c r="BU6" s="10" t="str">
        <f t="shared" ref="BU6:CA6" si="324">LEFT(TEXT(BU5,"ddd"),1)</f>
        <v>t</v>
      </c>
      <c r="BV6" s="10" t="str">
        <f t="shared" si="324"/>
        <v>q</v>
      </c>
      <c r="BW6" s="10" t="str">
        <f t="shared" si="324"/>
        <v>q</v>
      </c>
      <c r="BX6" s="10" t="str">
        <f t="shared" si="324"/>
        <v>s</v>
      </c>
      <c r="BY6" s="10" t="str">
        <f t="shared" si="324"/>
        <v>s</v>
      </c>
      <c r="BZ6" s="10" t="str">
        <f t="shared" si="324"/>
        <v>d</v>
      </c>
      <c r="CA6" s="10" t="str">
        <f t="shared" si="324"/>
        <v>s</v>
      </c>
      <c r="CB6" s="10" t="str">
        <f t="shared" ref="CB6:DP6" si="325">LEFT(TEXT(CB5,"ddd"),1)</f>
        <v>t</v>
      </c>
      <c r="CC6" s="10" t="str">
        <f t="shared" si="325"/>
        <v>q</v>
      </c>
      <c r="CD6" s="10" t="str">
        <f t="shared" si="325"/>
        <v>q</v>
      </c>
      <c r="CE6" s="10" t="str">
        <f t="shared" si="325"/>
        <v>s</v>
      </c>
      <c r="CF6" s="10" t="str">
        <f t="shared" si="325"/>
        <v>s</v>
      </c>
      <c r="CG6" s="10" t="str">
        <f t="shared" si="325"/>
        <v>d</v>
      </c>
      <c r="CH6" s="10" t="str">
        <f t="shared" si="325"/>
        <v>s</v>
      </c>
      <c r="CI6" s="10" t="str">
        <f t="shared" si="325"/>
        <v>t</v>
      </c>
      <c r="CJ6" s="10" t="str">
        <f t="shared" si="325"/>
        <v>q</v>
      </c>
      <c r="CK6" s="10" t="str">
        <f t="shared" si="325"/>
        <v>q</v>
      </c>
      <c r="CL6" s="10" t="str">
        <f t="shared" si="325"/>
        <v>s</v>
      </c>
      <c r="CM6" s="10" t="str">
        <f t="shared" si="325"/>
        <v>s</v>
      </c>
      <c r="CN6" s="10" t="str">
        <f t="shared" si="325"/>
        <v>d</v>
      </c>
      <c r="CO6" s="10" t="str">
        <f t="shared" si="325"/>
        <v>s</v>
      </c>
      <c r="CP6" s="10" t="str">
        <f t="shared" si="325"/>
        <v>t</v>
      </c>
      <c r="CQ6" s="10" t="str">
        <f t="shared" si="325"/>
        <v>q</v>
      </c>
      <c r="CR6" s="10" t="str">
        <f t="shared" si="325"/>
        <v>q</v>
      </c>
      <c r="CS6" s="10" t="str">
        <f t="shared" si="325"/>
        <v>s</v>
      </c>
      <c r="CT6" s="10" t="str">
        <f t="shared" si="325"/>
        <v>s</v>
      </c>
      <c r="CU6" s="10" t="str">
        <f t="shared" si="325"/>
        <v>d</v>
      </c>
      <c r="CV6" s="10" t="str">
        <f t="shared" si="325"/>
        <v>s</v>
      </c>
      <c r="CW6" s="10" t="str">
        <f t="shared" si="325"/>
        <v>t</v>
      </c>
      <c r="CX6" s="10" t="str">
        <f t="shared" si="325"/>
        <v>q</v>
      </c>
      <c r="CY6" s="10" t="str">
        <f t="shared" si="325"/>
        <v>q</v>
      </c>
      <c r="CZ6" s="10" t="str">
        <f t="shared" si="325"/>
        <v>s</v>
      </c>
      <c r="DA6" s="10" t="str">
        <f t="shared" si="325"/>
        <v>s</v>
      </c>
      <c r="DB6" s="10" t="str">
        <f t="shared" si="325"/>
        <v>d</v>
      </c>
      <c r="DC6" s="10" t="str">
        <f t="shared" si="325"/>
        <v>s</v>
      </c>
      <c r="DD6" s="10" t="str">
        <f t="shared" si="325"/>
        <v>t</v>
      </c>
      <c r="DE6" s="10" t="str">
        <f t="shared" si="325"/>
        <v>q</v>
      </c>
      <c r="DF6" s="10" t="str">
        <f t="shared" si="325"/>
        <v>q</v>
      </c>
      <c r="DG6" s="10" t="str">
        <f t="shared" si="325"/>
        <v>s</v>
      </c>
      <c r="DH6" s="10" t="str">
        <f t="shared" si="325"/>
        <v>s</v>
      </c>
      <c r="DI6" s="10" t="str">
        <f t="shared" si="325"/>
        <v>d</v>
      </c>
      <c r="DJ6" s="10" t="str">
        <f t="shared" si="325"/>
        <v>s</v>
      </c>
      <c r="DK6" s="10" t="str">
        <f t="shared" si="325"/>
        <v>t</v>
      </c>
      <c r="DL6" s="10" t="str">
        <f t="shared" si="325"/>
        <v>q</v>
      </c>
      <c r="DM6" s="10" t="str">
        <f t="shared" si="325"/>
        <v>q</v>
      </c>
      <c r="DN6" s="10" t="str">
        <f t="shared" si="325"/>
        <v>s</v>
      </c>
      <c r="DO6" s="10" t="str">
        <f t="shared" si="325"/>
        <v>s</v>
      </c>
      <c r="DP6" s="10" t="str">
        <f t="shared" si="325"/>
        <v>d</v>
      </c>
      <c r="DQ6" s="10" t="str">
        <f t="shared" ref="DQ6:ER6" si="326">LEFT(TEXT(DQ5,"ddd"),1)</f>
        <v>s</v>
      </c>
      <c r="DR6" s="10" t="str">
        <f t="shared" si="326"/>
        <v>t</v>
      </c>
      <c r="DS6" s="10" t="str">
        <f t="shared" si="326"/>
        <v>q</v>
      </c>
      <c r="DT6" s="10" t="str">
        <f t="shared" si="326"/>
        <v>q</v>
      </c>
      <c r="DU6" s="10" t="str">
        <f t="shared" si="326"/>
        <v>s</v>
      </c>
      <c r="DV6" s="10" t="str">
        <f t="shared" si="326"/>
        <v>s</v>
      </c>
      <c r="DW6" s="10" t="str">
        <f t="shared" si="326"/>
        <v>d</v>
      </c>
      <c r="DX6" s="10" t="str">
        <f t="shared" si="326"/>
        <v>s</v>
      </c>
      <c r="DY6" s="10" t="str">
        <f t="shared" si="326"/>
        <v>t</v>
      </c>
      <c r="DZ6" s="10" t="str">
        <f t="shared" si="326"/>
        <v>q</v>
      </c>
      <c r="EA6" s="10" t="str">
        <f t="shared" si="326"/>
        <v>q</v>
      </c>
      <c r="EB6" s="10" t="str">
        <f t="shared" si="326"/>
        <v>s</v>
      </c>
      <c r="EC6" s="10" t="str">
        <f t="shared" si="326"/>
        <v>s</v>
      </c>
      <c r="ED6" s="10" t="str">
        <f t="shared" si="326"/>
        <v>d</v>
      </c>
      <c r="EE6" s="10" t="str">
        <f t="shared" si="326"/>
        <v>s</v>
      </c>
      <c r="EF6" s="10" t="str">
        <f t="shared" si="326"/>
        <v>t</v>
      </c>
      <c r="EG6" s="10" t="str">
        <f t="shared" si="326"/>
        <v>q</v>
      </c>
      <c r="EH6" s="10" t="str">
        <f t="shared" si="326"/>
        <v>q</v>
      </c>
      <c r="EI6" s="10" t="str">
        <f t="shared" si="326"/>
        <v>s</v>
      </c>
      <c r="EJ6" s="10" t="str">
        <f t="shared" si="326"/>
        <v>s</v>
      </c>
      <c r="EK6" s="10" t="str">
        <f t="shared" si="326"/>
        <v>d</v>
      </c>
      <c r="EL6" s="10" t="str">
        <f t="shared" si="326"/>
        <v>s</v>
      </c>
      <c r="EM6" s="10" t="str">
        <f t="shared" si="326"/>
        <v>t</v>
      </c>
      <c r="EN6" s="10" t="str">
        <f t="shared" si="326"/>
        <v>q</v>
      </c>
      <c r="EO6" s="10" t="str">
        <f t="shared" si="326"/>
        <v>q</v>
      </c>
      <c r="EP6" s="10" t="str">
        <f t="shared" si="326"/>
        <v>s</v>
      </c>
      <c r="EQ6" s="10" t="str">
        <f t="shared" si="326"/>
        <v>s</v>
      </c>
      <c r="ER6" s="10" t="str">
        <f t="shared" si="326"/>
        <v>d</v>
      </c>
      <c r="ES6" s="10" t="str">
        <f t="shared" ref="ES6:GO6" si="327">LEFT(TEXT(ES5,"ddd"),1)</f>
        <v>s</v>
      </c>
      <c r="ET6" s="10" t="str">
        <f t="shared" si="327"/>
        <v>t</v>
      </c>
      <c r="EU6" s="10" t="str">
        <f t="shared" si="327"/>
        <v>q</v>
      </c>
      <c r="EV6" s="10" t="str">
        <f t="shared" si="327"/>
        <v>q</v>
      </c>
      <c r="EW6" s="10" t="str">
        <f t="shared" si="327"/>
        <v>s</v>
      </c>
      <c r="EX6" s="10" t="str">
        <f t="shared" si="327"/>
        <v>s</v>
      </c>
      <c r="EY6" s="10" t="str">
        <f t="shared" si="327"/>
        <v>d</v>
      </c>
      <c r="EZ6" s="10" t="str">
        <f t="shared" si="327"/>
        <v>s</v>
      </c>
      <c r="FA6" s="10" t="str">
        <f t="shared" si="327"/>
        <v>t</v>
      </c>
      <c r="FB6" s="10" t="str">
        <f t="shared" si="327"/>
        <v>q</v>
      </c>
      <c r="FC6" s="10" t="str">
        <f t="shared" si="327"/>
        <v>q</v>
      </c>
      <c r="FD6" s="10" t="str">
        <f t="shared" si="327"/>
        <v>s</v>
      </c>
      <c r="FE6" s="10" t="str">
        <f t="shared" si="327"/>
        <v>s</v>
      </c>
      <c r="FF6" s="10" t="str">
        <f t="shared" si="327"/>
        <v>d</v>
      </c>
      <c r="FG6" s="10" t="str">
        <f t="shared" si="327"/>
        <v>s</v>
      </c>
      <c r="FH6" s="10" t="str">
        <f t="shared" si="327"/>
        <v>t</v>
      </c>
      <c r="FI6" s="10" t="str">
        <f t="shared" si="327"/>
        <v>q</v>
      </c>
      <c r="FJ6" s="10" t="str">
        <f t="shared" si="327"/>
        <v>q</v>
      </c>
      <c r="FK6" s="10" t="str">
        <f t="shared" si="327"/>
        <v>s</v>
      </c>
      <c r="FL6" s="10" t="str">
        <f t="shared" si="327"/>
        <v>s</v>
      </c>
      <c r="FM6" s="10" t="str">
        <f t="shared" si="327"/>
        <v>d</v>
      </c>
      <c r="FN6" s="10" t="str">
        <f t="shared" si="327"/>
        <v>s</v>
      </c>
      <c r="FO6" s="10" t="str">
        <f t="shared" si="327"/>
        <v>t</v>
      </c>
      <c r="FP6" s="10" t="str">
        <f t="shared" si="327"/>
        <v>q</v>
      </c>
      <c r="FQ6" s="10" t="str">
        <f t="shared" si="327"/>
        <v>q</v>
      </c>
      <c r="FR6" s="10" t="str">
        <f t="shared" si="327"/>
        <v>s</v>
      </c>
      <c r="FS6" s="10" t="str">
        <f t="shared" si="327"/>
        <v>s</v>
      </c>
      <c r="FT6" s="10" t="str">
        <f t="shared" si="327"/>
        <v>d</v>
      </c>
      <c r="FU6" s="10" t="str">
        <f t="shared" si="327"/>
        <v>s</v>
      </c>
      <c r="FV6" s="10" t="str">
        <f t="shared" si="327"/>
        <v>t</v>
      </c>
      <c r="FW6" s="10" t="str">
        <f t="shared" si="327"/>
        <v>q</v>
      </c>
      <c r="FX6" s="10" t="str">
        <f t="shared" si="327"/>
        <v>q</v>
      </c>
      <c r="FY6" s="10" t="str">
        <f t="shared" si="327"/>
        <v>s</v>
      </c>
      <c r="FZ6" s="10" t="str">
        <f t="shared" si="327"/>
        <v>s</v>
      </c>
      <c r="GA6" s="10" t="str">
        <f t="shared" si="327"/>
        <v>d</v>
      </c>
      <c r="GB6" s="10" t="str">
        <f t="shared" si="327"/>
        <v>s</v>
      </c>
      <c r="GC6" s="10" t="str">
        <f t="shared" si="327"/>
        <v>t</v>
      </c>
      <c r="GD6" s="10" t="str">
        <f t="shared" si="327"/>
        <v>q</v>
      </c>
      <c r="GE6" s="10" t="str">
        <f t="shared" si="327"/>
        <v>q</v>
      </c>
      <c r="GF6" s="10" t="str">
        <f t="shared" si="327"/>
        <v>s</v>
      </c>
      <c r="GG6" s="10" t="str">
        <f t="shared" si="327"/>
        <v>s</v>
      </c>
      <c r="GH6" s="10" t="str">
        <f t="shared" si="327"/>
        <v>d</v>
      </c>
      <c r="GI6" s="10" t="str">
        <f t="shared" si="327"/>
        <v>s</v>
      </c>
      <c r="GJ6" s="10" t="str">
        <f t="shared" si="327"/>
        <v>t</v>
      </c>
      <c r="GK6" s="10" t="str">
        <f t="shared" si="327"/>
        <v>q</v>
      </c>
      <c r="GL6" s="10" t="str">
        <f t="shared" si="327"/>
        <v>q</v>
      </c>
      <c r="GM6" s="10" t="str">
        <f t="shared" si="327"/>
        <v>s</v>
      </c>
      <c r="GN6" s="10" t="str">
        <f t="shared" si="327"/>
        <v>s</v>
      </c>
      <c r="GO6" s="10" t="str">
        <f t="shared" si="327"/>
        <v>d</v>
      </c>
      <c r="GP6" s="10" t="str">
        <f t="shared" ref="GP6:IZ6" si="328">LEFT(TEXT(GP5,"ddd"),1)</f>
        <v>s</v>
      </c>
      <c r="GQ6" s="10" t="str">
        <f t="shared" si="328"/>
        <v>t</v>
      </c>
      <c r="GR6" s="10" t="str">
        <f t="shared" si="328"/>
        <v>q</v>
      </c>
      <c r="GS6" s="10" t="str">
        <f t="shared" si="328"/>
        <v>q</v>
      </c>
      <c r="GT6" s="10" t="str">
        <f t="shared" si="328"/>
        <v>s</v>
      </c>
      <c r="GU6" s="10" t="str">
        <f t="shared" si="328"/>
        <v>s</v>
      </c>
      <c r="GV6" s="10" t="str">
        <f t="shared" si="328"/>
        <v>d</v>
      </c>
      <c r="GW6" s="10" t="str">
        <f t="shared" si="328"/>
        <v>s</v>
      </c>
      <c r="GX6" s="10" t="str">
        <f t="shared" si="328"/>
        <v>t</v>
      </c>
      <c r="GY6" s="10" t="str">
        <f t="shared" si="328"/>
        <v>q</v>
      </c>
      <c r="GZ6" s="10" t="str">
        <f t="shared" si="328"/>
        <v>q</v>
      </c>
      <c r="HA6" s="10" t="str">
        <f t="shared" si="328"/>
        <v>s</v>
      </c>
      <c r="HB6" s="10" t="str">
        <f t="shared" si="328"/>
        <v>s</v>
      </c>
      <c r="HC6" s="10" t="str">
        <f t="shared" si="328"/>
        <v>d</v>
      </c>
      <c r="HD6" s="10" t="str">
        <f t="shared" si="328"/>
        <v>s</v>
      </c>
      <c r="HE6" s="10" t="str">
        <f t="shared" si="328"/>
        <v>t</v>
      </c>
      <c r="HF6" s="10" t="str">
        <f t="shared" si="328"/>
        <v>q</v>
      </c>
      <c r="HG6" s="10" t="str">
        <f t="shared" si="328"/>
        <v>q</v>
      </c>
      <c r="HH6" s="10" t="str">
        <f t="shared" si="328"/>
        <v>s</v>
      </c>
      <c r="HI6" s="10" t="str">
        <f t="shared" si="328"/>
        <v>s</v>
      </c>
      <c r="HJ6" s="10" t="str">
        <f t="shared" si="328"/>
        <v>d</v>
      </c>
      <c r="HK6" s="10" t="str">
        <f t="shared" si="328"/>
        <v>s</v>
      </c>
      <c r="HL6" s="10" t="str">
        <f t="shared" si="328"/>
        <v>t</v>
      </c>
      <c r="HM6" s="10" t="str">
        <f t="shared" si="328"/>
        <v>q</v>
      </c>
      <c r="HN6" s="10" t="str">
        <f t="shared" si="328"/>
        <v>q</v>
      </c>
      <c r="HO6" s="10" t="str">
        <f t="shared" si="328"/>
        <v>s</v>
      </c>
      <c r="HP6" s="10" t="str">
        <f t="shared" si="328"/>
        <v>s</v>
      </c>
      <c r="HQ6" s="10" t="str">
        <f t="shared" si="328"/>
        <v>d</v>
      </c>
      <c r="HR6" s="10" t="str">
        <f t="shared" si="328"/>
        <v>s</v>
      </c>
      <c r="HS6" s="10" t="str">
        <f t="shared" si="328"/>
        <v>t</v>
      </c>
      <c r="HT6" s="10" t="str">
        <f t="shared" si="328"/>
        <v>q</v>
      </c>
      <c r="HU6" s="10" t="str">
        <f t="shared" si="328"/>
        <v>q</v>
      </c>
      <c r="HV6" s="10" t="str">
        <f t="shared" si="328"/>
        <v>s</v>
      </c>
      <c r="HW6" s="10" t="str">
        <f t="shared" si="328"/>
        <v>s</v>
      </c>
      <c r="HX6" s="10" t="str">
        <f t="shared" si="328"/>
        <v>d</v>
      </c>
      <c r="HY6" s="10" t="str">
        <f t="shared" si="328"/>
        <v>s</v>
      </c>
      <c r="HZ6" s="10" t="str">
        <f t="shared" si="328"/>
        <v>t</v>
      </c>
      <c r="IA6" s="10" t="str">
        <f t="shared" si="328"/>
        <v>q</v>
      </c>
      <c r="IB6" s="10" t="str">
        <f t="shared" si="328"/>
        <v>q</v>
      </c>
      <c r="IC6" s="10" t="str">
        <f t="shared" si="328"/>
        <v>s</v>
      </c>
      <c r="ID6" s="10" t="str">
        <f t="shared" si="328"/>
        <v>s</v>
      </c>
      <c r="IE6" s="10" t="str">
        <f t="shared" si="328"/>
        <v>d</v>
      </c>
      <c r="IF6" s="10" t="str">
        <f t="shared" si="328"/>
        <v>s</v>
      </c>
      <c r="IG6" s="10" t="str">
        <f t="shared" si="328"/>
        <v>t</v>
      </c>
      <c r="IH6" s="10" t="str">
        <f t="shared" si="328"/>
        <v>q</v>
      </c>
      <c r="II6" s="10" t="str">
        <f t="shared" si="328"/>
        <v>q</v>
      </c>
      <c r="IJ6" s="10" t="str">
        <f t="shared" si="328"/>
        <v>s</v>
      </c>
      <c r="IK6" s="10" t="str">
        <f t="shared" si="328"/>
        <v>s</v>
      </c>
      <c r="IL6" s="10" t="str">
        <f t="shared" si="328"/>
        <v>d</v>
      </c>
      <c r="IM6" s="10" t="str">
        <f t="shared" si="328"/>
        <v>s</v>
      </c>
      <c r="IN6" s="10" t="str">
        <f t="shared" si="328"/>
        <v>t</v>
      </c>
      <c r="IO6" s="10" t="str">
        <f t="shared" si="328"/>
        <v>q</v>
      </c>
      <c r="IP6" s="10" t="str">
        <f t="shared" si="328"/>
        <v>q</v>
      </c>
      <c r="IQ6" s="10" t="str">
        <f t="shared" si="328"/>
        <v>s</v>
      </c>
      <c r="IR6" s="10" t="str">
        <f t="shared" si="328"/>
        <v>s</v>
      </c>
      <c r="IS6" s="10" t="str">
        <f t="shared" si="328"/>
        <v>d</v>
      </c>
      <c r="IT6" s="10" t="str">
        <f t="shared" si="328"/>
        <v>s</v>
      </c>
      <c r="IU6" s="10" t="str">
        <f t="shared" si="328"/>
        <v>t</v>
      </c>
      <c r="IV6" s="10" t="str">
        <f t="shared" si="328"/>
        <v>q</v>
      </c>
      <c r="IW6" s="10" t="str">
        <f t="shared" si="328"/>
        <v>q</v>
      </c>
      <c r="IX6" s="10" t="str">
        <f t="shared" si="328"/>
        <v>s</v>
      </c>
      <c r="IY6" s="10" t="str">
        <f t="shared" si="328"/>
        <v>s</v>
      </c>
      <c r="IZ6" s="10" t="str">
        <f t="shared" si="328"/>
        <v>d</v>
      </c>
      <c r="JA6" s="10" t="str">
        <f t="shared" ref="JA6:LD6" si="329">LEFT(TEXT(JA5,"ddd"),1)</f>
        <v>s</v>
      </c>
      <c r="JB6" s="10" t="str">
        <f t="shared" si="329"/>
        <v>t</v>
      </c>
      <c r="JC6" s="10" t="str">
        <f t="shared" si="329"/>
        <v>q</v>
      </c>
      <c r="JD6" s="10" t="str">
        <f t="shared" si="329"/>
        <v>q</v>
      </c>
      <c r="JE6" s="10" t="str">
        <f t="shared" si="329"/>
        <v>s</v>
      </c>
      <c r="JF6" s="10" t="str">
        <f t="shared" si="329"/>
        <v>s</v>
      </c>
      <c r="JG6" s="10" t="str">
        <f t="shared" si="329"/>
        <v>d</v>
      </c>
      <c r="JH6" s="10" t="str">
        <f t="shared" si="329"/>
        <v>s</v>
      </c>
      <c r="JI6" s="10" t="str">
        <f t="shared" si="329"/>
        <v>t</v>
      </c>
      <c r="JJ6" s="10" t="str">
        <f t="shared" si="329"/>
        <v>q</v>
      </c>
      <c r="JK6" s="10" t="str">
        <f t="shared" si="329"/>
        <v>q</v>
      </c>
      <c r="JL6" s="10" t="str">
        <f t="shared" si="329"/>
        <v>s</v>
      </c>
      <c r="JM6" s="10" t="str">
        <f t="shared" si="329"/>
        <v>s</v>
      </c>
      <c r="JN6" s="10" t="str">
        <f t="shared" si="329"/>
        <v>d</v>
      </c>
      <c r="JO6" s="10" t="str">
        <f t="shared" si="329"/>
        <v>s</v>
      </c>
      <c r="JP6" s="10" t="str">
        <f t="shared" si="329"/>
        <v>t</v>
      </c>
      <c r="JQ6" s="10" t="str">
        <f t="shared" si="329"/>
        <v>q</v>
      </c>
      <c r="JR6" s="10" t="str">
        <f t="shared" si="329"/>
        <v>q</v>
      </c>
      <c r="JS6" s="10" t="str">
        <f t="shared" si="329"/>
        <v>s</v>
      </c>
      <c r="JT6" s="10" t="str">
        <f t="shared" si="329"/>
        <v>s</v>
      </c>
      <c r="JU6" s="10" t="str">
        <f t="shared" si="329"/>
        <v>d</v>
      </c>
      <c r="JV6" s="10" t="str">
        <f t="shared" si="329"/>
        <v>s</v>
      </c>
      <c r="JW6" s="10" t="str">
        <f t="shared" si="329"/>
        <v>t</v>
      </c>
      <c r="JX6" s="10" t="str">
        <f t="shared" si="329"/>
        <v>q</v>
      </c>
      <c r="JY6" s="10" t="str">
        <f t="shared" si="329"/>
        <v>q</v>
      </c>
      <c r="JZ6" s="10" t="str">
        <f t="shared" si="329"/>
        <v>s</v>
      </c>
      <c r="KA6" s="10" t="str">
        <f t="shared" si="329"/>
        <v>s</v>
      </c>
      <c r="KB6" s="10" t="str">
        <f t="shared" si="329"/>
        <v>d</v>
      </c>
      <c r="KC6" s="10" t="str">
        <f t="shared" si="329"/>
        <v>s</v>
      </c>
      <c r="KD6" s="10" t="str">
        <f t="shared" si="329"/>
        <v>t</v>
      </c>
      <c r="KE6" s="10" t="str">
        <f t="shared" si="329"/>
        <v>q</v>
      </c>
      <c r="KF6" s="10" t="str">
        <f t="shared" si="329"/>
        <v>q</v>
      </c>
      <c r="KG6" s="10" t="str">
        <f t="shared" si="329"/>
        <v>s</v>
      </c>
      <c r="KH6" s="10" t="str">
        <f t="shared" si="329"/>
        <v>s</v>
      </c>
      <c r="KI6" s="10" t="str">
        <f t="shared" si="329"/>
        <v>d</v>
      </c>
      <c r="KJ6" s="10" t="str">
        <f t="shared" si="329"/>
        <v>s</v>
      </c>
      <c r="KK6" s="10" t="str">
        <f t="shared" si="329"/>
        <v>t</v>
      </c>
      <c r="KL6" s="10" t="str">
        <f t="shared" si="329"/>
        <v>q</v>
      </c>
      <c r="KM6" s="10" t="str">
        <f t="shared" si="329"/>
        <v>q</v>
      </c>
      <c r="KN6" s="10" t="str">
        <f t="shared" si="329"/>
        <v>s</v>
      </c>
      <c r="KO6" s="10" t="str">
        <f t="shared" si="329"/>
        <v>s</v>
      </c>
      <c r="KP6" s="10" t="str">
        <f t="shared" si="329"/>
        <v>d</v>
      </c>
      <c r="KQ6" s="10" t="str">
        <f t="shared" si="329"/>
        <v>s</v>
      </c>
      <c r="KR6" s="10" t="str">
        <f t="shared" si="329"/>
        <v>t</v>
      </c>
      <c r="KS6" s="10" t="str">
        <f t="shared" si="329"/>
        <v>q</v>
      </c>
      <c r="KT6" s="10" t="str">
        <f t="shared" si="329"/>
        <v>q</v>
      </c>
      <c r="KU6" s="10" t="str">
        <f t="shared" si="329"/>
        <v>s</v>
      </c>
      <c r="KV6" s="10" t="str">
        <f t="shared" si="329"/>
        <v>s</v>
      </c>
      <c r="KW6" s="10" t="str">
        <f t="shared" si="329"/>
        <v>d</v>
      </c>
      <c r="KX6" s="10" t="str">
        <f t="shared" si="329"/>
        <v>s</v>
      </c>
      <c r="KY6" s="10" t="str">
        <f t="shared" si="329"/>
        <v>t</v>
      </c>
      <c r="KZ6" s="10" t="str">
        <f t="shared" si="329"/>
        <v>q</v>
      </c>
      <c r="LA6" s="10" t="str">
        <f t="shared" si="329"/>
        <v>q</v>
      </c>
      <c r="LB6" s="10" t="str">
        <f t="shared" si="329"/>
        <v>s</v>
      </c>
      <c r="LC6" s="10" t="str">
        <f t="shared" si="329"/>
        <v>s</v>
      </c>
      <c r="LD6" s="10" t="str">
        <f t="shared" si="329"/>
        <v>d</v>
      </c>
      <c r="LE6" s="10" t="str">
        <f t="shared" ref="LE6:LY6" si="330">LEFT(TEXT(LE5,"ddd"),1)</f>
        <v>s</v>
      </c>
      <c r="LF6" s="10" t="str">
        <f t="shared" si="330"/>
        <v>t</v>
      </c>
      <c r="LG6" s="10" t="str">
        <f t="shared" si="330"/>
        <v>q</v>
      </c>
      <c r="LH6" s="10" t="str">
        <f t="shared" si="330"/>
        <v>q</v>
      </c>
      <c r="LI6" s="10" t="str">
        <f t="shared" si="330"/>
        <v>s</v>
      </c>
      <c r="LJ6" s="10" t="str">
        <f t="shared" si="330"/>
        <v>s</v>
      </c>
      <c r="LK6" s="10" t="str">
        <f t="shared" si="330"/>
        <v>d</v>
      </c>
      <c r="LL6" s="10" t="str">
        <f t="shared" si="330"/>
        <v>s</v>
      </c>
      <c r="LM6" s="10" t="str">
        <f t="shared" si="330"/>
        <v>t</v>
      </c>
      <c r="LN6" s="10" t="str">
        <f t="shared" si="330"/>
        <v>q</v>
      </c>
      <c r="LO6" s="10" t="str">
        <f t="shared" si="330"/>
        <v>q</v>
      </c>
      <c r="LP6" s="10" t="str">
        <f t="shared" si="330"/>
        <v>s</v>
      </c>
      <c r="LQ6" s="10" t="str">
        <f t="shared" si="330"/>
        <v>s</v>
      </c>
      <c r="LR6" s="10" t="str">
        <f t="shared" si="330"/>
        <v>d</v>
      </c>
      <c r="LS6" s="10" t="str">
        <f t="shared" si="330"/>
        <v>s</v>
      </c>
      <c r="LT6" s="10" t="str">
        <f t="shared" si="330"/>
        <v>t</v>
      </c>
      <c r="LU6" s="10" t="str">
        <f t="shared" si="330"/>
        <v>q</v>
      </c>
      <c r="LV6" s="10" t="str">
        <f t="shared" si="330"/>
        <v>q</v>
      </c>
      <c r="LW6" s="10" t="str">
        <f t="shared" si="330"/>
        <v>s</v>
      </c>
      <c r="LX6" s="10" t="str">
        <f t="shared" si="330"/>
        <v>s</v>
      </c>
      <c r="LY6" s="10" t="str">
        <f t="shared" si="330"/>
        <v>d</v>
      </c>
      <c r="LZ6" s="10" t="str">
        <f t="shared" ref="LZ6:MF6" si="331">LEFT(TEXT(LZ5,"ddd"),1)</f>
        <v>s</v>
      </c>
      <c r="MA6" s="10" t="str">
        <f t="shared" si="331"/>
        <v>t</v>
      </c>
      <c r="MB6" s="10" t="str">
        <f t="shared" si="331"/>
        <v>q</v>
      </c>
      <c r="MC6" s="10" t="str">
        <f t="shared" si="331"/>
        <v>q</v>
      </c>
      <c r="MD6" s="10" t="str">
        <f t="shared" si="331"/>
        <v>s</v>
      </c>
      <c r="ME6" s="10" t="str">
        <f t="shared" si="331"/>
        <v>s</v>
      </c>
      <c r="MF6" s="10" t="str">
        <f t="shared" si="331"/>
        <v>d</v>
      </c>
    </row>
    <row r="7" spans="1:344" ht="30" hidden="1" customHeight="1">
      <c r="A7" s="45" t="s">
        <v>165</v>
      </c>
      <c r="C7" s="48"/>
      <c r="E7"/>
      <c r="H7" t="str">
        <f ca="1">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344" s="3" customFormat="1" ht="30" customHeight="1">
      <c r="A8" s="46" t="s">
        <v>166</v>
      </c>
      <c r="B8" s="259" t="str">
        <f>'OKR '!D20</f>
        <v>Criar a Governança do GT de Saúde Digital para formação</v>
      </c>
      <c r="C8" s="259"/>
      <c r="D8" s="259"/>
      <c r="E8" s="259"/>
      <c r="F8" s="259"/>
      <c r="G8" s="14"/>
      <c r="H8" s="14" t="str">
        <f t="shared" ref="H8:H120" ca="1" si="332">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c r="EK8" s="31"/>
      <c r="EL8" s="31"/>
      <c r="EM8" s="31"/>
      <c r="EN8" s="31"/>
      <c r="EO8" s="31"/>
      <c r="EP8" s="31"/>
      <c r="EQ8" s="31"/>
      <c r="ER8" s="31"/>
      <c r="ES8" s="31"/>
      <c r="ET8" s="31"/>
      <c r="EU8" s="31"/>
      <c r="EV8" s="31"/>
      <c r="EW8" s="31"/>
      <c r="EX8" s="31"/>
      <c r="EY8" s="31"/>
      <c r="EZ8" s="31"/>
      <c r="FA8" s="31"/>
      <c r="FB8" s="31"/>
      <c r="FC8" s="31"/>
      <c r="FD8" s="31"/>
      <c r="FE8" s="31"/>
      <c r="FF8" s="31"/>
      <c r="FG8" s="31"/>
      <c r="FH8" s="31"/>
      <c r="FI8" s="31"/>
      <c r="FJ8" s="31"/>
      <c r="FK8" s="31"/>
      <c r="FL8" s="31"/>
      <c r="FM8" s="31"/>
      <c r="FN8" s="31"/>
      <c r="FO8" s="31"/>
      <c r="FP8" s="31"/>
      <c r="FQ8" s="31"/>
      <c r="FR8" s="31"/>
      <c r="FS8" s="31"/>
      <c r="FT8" s="31"/>
      <c r="FU8" s="31"/>
      <c r="FV8" s="31"/>
      <c r="FW8" s="31"/>
      <c r="FX8" s="31"/>
      <c r="FY8" s="31"/>
      <c r="FZ8" s="31"/>
      <c r="GA8" s="31"/>
      <c r="GB8" s="31"/>
      <c r="GC8" s="31"/>
      <c r="GD8" s="31"/>
      <c r="GE8" s="31"/>
      <c r="GF8" s="31"/>
      <c r="GG8" s="31"/>
      <c r="GH8" s="31"/>
      <c r="GI8" s="31"/>
      <c r="GJ8" s="31"/>
      <c r="GK8" s="31"/>
      <c r="GL8" s="31"/>
      <c r="GM8" s="31"/>
      <c r="GN8" s="31"/>
      <c r="GO8" s="31"/>
      <c r="GP8" s="31"/>
      <c r="GQ8" s="31"/>
      <c r="GR8" s="31"/>
      <c r="GS8" s="31"/>
      <c r="GT8" s="31"/>
      <c r="GU8" s="31"/>
      <c r="GV8" s="31"/>
      <c r="GW8" s="31"/>
      <c r="GX8" s="31"/>
      <c r="GY8" s="31"/>
      <c r="GZ8" s="31"/>
      <c r="HA8" s="31"/>
      <c r="HB8" s="31"/>
      <c r="HC8" s="31"/>
      <c r="HD8" s="31"/>
      <c r="HE8" s="31"/>
      <c r="HF8" s="31"/>
      <c r="HG8" s="31"/>
      <c r="HH8" s="31"/>
      <c r="HI8" s="31"/>
      <c r="HJ8" s="31"/>
      <c r="HK8" s="31"/>
      <c r="HL8" s="31"/>
      <c r="HM8" s="31"/>
      <c r="HN8" s="31"/>
      <c r="HO8" s="31"/>
      <c r="HP8" s="31"/>
      <c r="HQ8" s="31"/>
      <c r="HR8" s="31"/>
      <c r="HS8" s="31"/>
      <c r="HT8" s="31"/>
      <c r="HU8" s="31"/>
      <c r="HV8" s="31"/>
      <c r="HW8" s="31"/>
      <c r="HX8" s="31"/>
      <c r="HY8" s="31"/>
      <c r="HZ8" s="31"/>
      <c r="IA8" s="31"/>
      <c r="IB8" s="31"/>
      <c r="IC8" s="31"/>
      <c r="ID8" s="31"/>
      <c r="IE8" s="31"/>
      <c r="IF8" s="31"/>
      <c r="IG8" s="31"/>
      <c r="IH8" s="31"/>
      <c r="II8" s="31"/>
      <c r="IJ8" s="31"/>
      <c r="IK8" s="31"/>
      <c r="IL8" s="31"/>
      <c r="IM8" s="31"/>
      <c r="IN8" s="31"/>
      <c r="IO8" s="31"/>
      <c r="IP8" s="31"/>
      <c r="IQ8" s="31"/>
      <c r="IR8" s="31"/>
      <c r="IS8" s="31"/>
      <c r="IT8" s="31"/>
      <c r="IU8" s="31"/>
      <c r="IV8" s="31"/>
      <c r="IW8" s="31"/>
      <c r="IX8" s="31"/>
      <c r="IY8" s="31"/>
      <c r="IZ8" s="31"/>
      <c r="JA8" s="31"/>
      <c r="JB8" s="31"/>
      <c r="JC8" s="31"/>
      <c r="JD8" s="31"/>
      <c r="JE8" s="31"/>
      <c r="JF8" s="31"/>
      <c r="JG8" s="31"/>
      <c r="JH8" s="31"/>
      <c r="JI8" s="31"/>
      <c r="JJ8" s="31"/>
      <c r="JK8" s="31"/>
      <c r="JL8" s="31"/>
      <c r="JM8" s="31"/>
      <c r="JN8" s="31"/>
      <c r="JO8" s="31"/>
      <c r="JP8" s="31"/>
      <c r="JQ8" s="31"/>
      <c r="JR8" s="31"/>
      <c r="JS8" s="31"/>
      <c r="JT8" s="31"/>
      <c r="JU8" s="31"/>
      <c r="JV8" s="31"/>
      <c r="JW8" s="31"/>
      <c r="JX8" s="31"/>
      <c r="JY8" s="31"/>
      <c r="JZ8" s="31"/>
      <c r="KA8" s="31"/>
      <c r="KB8" s="31"/>
      <c r="KC8" s="31"/>
      <c r="KD8" s="31"/>
      <c r="KE8" s="31"/>
      <c r="KF8" s="31"/>
      <c r="KG8" s="31"/>
      <c r="KH8" s="31"/>
      <c r="KI8" s="31"/>
      <c r="KJ8" s="31"/>
      <c r="KK8" s="31"/>
      <c r="KL8" s="31"/>
      <c r="KM8" s="31"/>
      <c r="KN8" s="31"/>
      <c r="KO8" s="31"/>
      <c r="KP8" s="31"/>
      <c r="KQ8" s="31"/>
      <c r="KR8" s="31"/>
      <c r="KS8" s="31"/>
      <c r="KT8" s="31"/>
      <c r="KU8" s="31"/>
      <c r="KV8" s="31"/>
      <c r="KW8" s="31"/>
      <c r="KX8" s="31"/>
      <c r="KY8" s="31"/>
      <c r="KZ8" s="31"/>
      <c r="LA8" s="31"/>
      <c r="LB8" s="31"/>
      <c r="LC8" s="31"/>
      <c r="LD8" s="31"/>
      <c r="LE8" s="31"/>
      <c r="LF8" s="31"/>
      <c r="LG8" s="31"/>
      <c r="LH8" s="31"/>
      <c r="LI8" s="31"/>
      <c r="LJ8" s="31"/>
      <c r="LK8" s="31"/>
      <c r="LL8" s="31"/>
      <c r="LM8" s="31"/>
      <c r="LN8" s="31"/>
      <c r="LO8" s="31"/>
      <c r="LP8" s="31"/>
      <c r="LQ8" s="31"/>
      <c r="LR8" s="31"/>
      <c r="LS8" s="31"/>
      <c r="LT8" s="31"/>
      <c r="LU8" s="31"/>
      <c r="LV8" s="31"/>
      <c r="LW8" s="31"/>
      <c r="LX8" s="31"/>
      <c r="LY8" s="31"/>
      <c r="LZ8" s="31"/>
      <c r="MA8" s="31"/>
      <c r="MB8" s="31"/>
      <c r="MC8" s="31"/>
      <c r="MD8" s="31"/>
      <c r="ME8" s="31"/>
      <c r="MF8" s="31"/>
    </row>
    <row r="9" spans="1:344" s="3" customFormat="1" ht="53.25" customHeight="1">
      <c r="A9" s="46" t="s">
        <v>167</v>
      </c>
      <c r="B9" s="119" t="str">
        <f>'OKR '!D23</f>
        <v>Definir escopo do grupo (responsabilidades, atribuições, frequência das reuniões, governança)</v>
      </c>
      <c r="C9" s="119" t="str">
        <f>'OKR '!E23</f>
        <v>SMS, NSDIGI, Regional, Cosems</v>
      </c>
      <c r="D9" s="17"/>
      <c r="E9" s="72">
        <f>'OKR '!G23</f>
        <v>46055</v>
      </c>
      <c r="F9" s="72">
        <f>'OKR '!H23</f>
        <v>46080</v>
      </c>
      <c r="G9" s="14"/>
      <c r="H9" s="14">
        <f t="shared" ca="1" si="332"/>
        <v>26</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1"/>
      <c r="FK9" s="31"/>
      <c r="FL9" s="31"/>
      <c r="FM9" s="31"/>
      <c r="FN9" s="31"/>
      <c r="FO9" s="31"/>
      <c r="FP9" s="31"/>
      <c r="FQ9" s="31"/>
      <c r="FR9" s="31"/>
      <c r="FS9" s="31"/>
      <c r="FT9" s="31"/>
      <c r="FU9" s="31"/>
      <c r="FV9" s="31"/>
      <c r="FW9" s="31"/>
      <c r="FX9" s="31"/>
      <c r="FY9" s="31"/>
      <c r="FZ9" s="31"/>
      <c r="GA9" s="31"/>
      <c r="GB9" s="31"/>
      <c r="GC9" s="31"/>
      <c r="GD9" s="31"/>
      <c r="GE9" s="31"/>
      <c r="GF9" s="31"/>
      <c r="GG9" s="31"/>
      <c r="GH9" s="31"/>
      <c r="GI9" s="31"/>
      <c r="GJ9" s="31"/>
      <c r="GK9" s="31"/>
      <c r="GL9" s="31"/>
      <c r="GM9" s="31"/>
      <c r="GN9" s="31"/>
      <c r="GO9" s="31"/>
      <c r="GP9" s="31"/>
      <c r="GQ9" s="31"/>
      <c r="GR9" s="31"/>
      <c r="GS9" s="31"/>
      <c r="GT9" s="31"/>
      <c r="GU9" s="31"/>
      <c r="GV9" s="31"/>
      <c r="GW9" s="31"/>
      <c r="GX9" s="31"/>
      <c r="GY9" s="31"/>
      <c r="GZ9" s="31"/>
      <c r="HA9" s="31"/>
      <c r="HB9" s="31"/>
      <c r="HC9" s="31"/>
      <c r="HD9" s="31"/>
      <c r="HE9" s="31"/>
      <c r="HF9" s="31"/>
      <c r="HG9" s="31"/>
      <c r="HH9" s="31"/>
      <c r="HI9" s="31"/>
      <c r="HJ9" s="31"/>
      <c r="HK9" s="31"/>
      <c r="HL9" s="31"/>
      <c r="HM9" s="31"/>
      <c r="HN9" s="31"/>
      <c r="HO9" s="31"/>
      <c r="HP9" s="31"/>
      <c r="HQ9" s="31"/>
      <c r="HR9" s="31"/>
      <c r="HS9" s="31"/>
      <c r="HT9" s="31"/>
      <c r="HU9" s="31"/>
      <c r="HV9" s="31"/>
      <c r="HW9" s="31"/>
      <c r="HX9" s="31"/>
      <c r="HY9" s="31"/>
      <c r="HZ9" s="31"/>
      <c r="IA9" s="31"/>
      <c r="IB9" s="31"/>
      <c r="IC9" s="31"/>
      <c r="ID9" s="31"/>
      <c r="IE9" s="31"/>
      <c r="IF9" s="31"/>
      <c r="IG9" s="31"/>
      <c r="IH9" s="31"/>
      <c r="II9" s="31"/>
      <c r="IJ9" s="31"/>
      <c r="IK9" s="31"/>
      <c r="IL9" s="31"/>
      <c r="IM9" s="31"/>
      <c r="IN9" s="31"/>
      <c r="IO9" s="31"/>
      <c r="IP9" s="31"/>
      <c r="IQ9" s="31"/>
      <c r="IR9" s="31"/>
      <c r="IS9" s="31"/>
      <c r="IT9" s="31"/>
      <c r="IU9" s="31"/>
      <c r="IV9" s="31"/>
      <c r="IW9" s="31"/>
      <c r="IX9" s="31"/>
      <c r="IY9" s="31"/>
      <c r="IZ9" s="31"/>
      <c r="JA9" s="31"/>
      <c r="JB9" s="31"/>
      <c r="JC9" s="31"/>
      <c r="JD9" s="31"/>
      <c r="JE9" s="31"/>
      <c r="JF9" s="31"/>
      <c r="JG9" s="31"/>
      <c r="JH9" s="31"/>
      <c r="JI9" s="31"/>
      <c r="JJ9" s="31"/>
      <c r="JK9" s="31"/>
      <c r="JL9" s="31"/>
      <c r="JM9" s="31"/>
      <c r="JN9" s="31"/>
      <c r="JO9" s="31"/>
      <c r="JP9" s="31"/>
      <c r="JQ9" s="31"/>
      <c r="JR9" s="31"/>
      <c r="JS9" s="31"/>
      <c r="JT9" s="31"/>
      <c r="JU9" s="31"/>
      <c r="JV9" s="31"/>
      <c r="JW9" s="31"/>
      <c r="JX9" s="31"/>
      <c r="JY9" s="31"/>
      <c r="JZ9" s="31"/>
      <c r="KA9" s="31"/>
      <c r="KB9" s="31"/>
      <c r="KC9" s="31"/>
      <c r="KD9" s="31"/>
      <c r="KE9" s="31"/>
      <c r="KF9" s="31"/>
      <c r="KG9" s="31"/>
      <c r="KH9" s="31"/>
      <c r="KI9" s="31"/>
      <c r="KJ9" s="31"/>
      <c r="KK9" s="31"/>
      <c r="KL9" s="31"/>
      <c r="KM9" s="31"/>
      <c r="KN9" s="31"/>
      <c r="KO9" s="31"/>
      <c r="KP9" s="31"/>
      <c r="KQ9" s="31"/>
      <c r="KR9" s="31"/>
      <c r="KS9" s="31"/>
      <c r="KT9" s="31"/>
      <c r="KU9" s="31"/>
      <c r="KV9" s="31"/>
      <c r="KW9" s="31"/>
      <c r="KX9" s="31"/>
      <c r="KY9" s="31"/>
      <c r="KZ9" s="31"/>
      <c r="LA9" s="31"/>
      <c r="LB9" s="31"/>
      <c r="LC9" s="31"/>
      <c r="LD9" s="31"/>
      <c r="LE9" s="31"/>
      <c r="LF9" s="31"/>
      <c r="LG9" s="31"/>
      <c r="LH9" s="31"/>
      <c r="LI9" s="31"/>
      <c r="LJ9" s="31"/>
      <c r="LK9" s="31"/>
      <c r="LL9" s="31"/>
      <c r="LM9" s="31"/>
      <c r="LN9" s="31"/>
      <c r="LO9" s="31"/>
      <c r="LP9" s="31"/>
      <c r="LQ9" s="31"/>
      <c r="LR9" s="31"/>
      <c r="LS9" s="31"/>
      <c r="LT9" s="31"/>
      <c r="LU9" s="31"/>
      <c r="LV9" s="31"/>
      <c r="LW9" s="31"/>
      <c r="LX9" s="31"/>
      <c r="LY9" s="31"/>
      <c r="LZ9" s="31"/>
      <c r="MA9" s="31"/>
      <c r="MB9" s="31"/>
      <c r="MC9" s="31"/>
      <c r="MD9" s="31"/>
      <c r="ME9" s="31"/>
      <c r="MF9" s="31"/>
    </row>
    <row r="10" spans="1:344" s="3" customFormat="1" ht="47.25" customHeight="1">
      <c r="A10" s="46" t="s">
        <v>168</v>
      </c>
      <c r="B10" s="119" t="str">
        <f>'OKR '!D24</f>
        <v>Indicar representantes</v>
      </c>
      <c r="C10" s="119" t="str">
        <f>'OKR '!E24</f>
        <v>Gestores Municipais</v>
      </c>
      <c r="D10" s="17"/>
      <c r="E10" s="72">
        <f>'OKR '!G24</f>
        <v>46055</v>
      </c>
      <c r="F10" s="72">
        <f>'OKR '!H24</f>
        <v>46080</v>
      </c>
      <c r="G10" s="14"/>
      <c r="H10" s="14">
        <f t="shared" ca="1" si="332"/>
        <v>26</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c r="IC10" s="31"/>
      <c r="ID10" s="31"/>
      <c r="IE10" s="31"/>
      <c r="IF10" s="31"/>
      <c r="IG10" s="31"/>
      <c r="IH10" s="31"/>
      <c r="II10" s="31"/>
      <c r="IJ10" s="31"/>
      <c r="IK10" s="31"/>
      <c r="IL10" s="31"/>
      <c r="IM10" s="31"/>
      <c r="IN10" s="31"/>
      <c r="IO10" s="31"/>
      <c r="IP10" s="31"/>
      <c r="IQ10" s="31"/>
      <c r="IR10" s="31"/>
      <c r="IS10" s="31"/>
      <c r="IT10" s="31"/>
      <c r="IU10" s="31"/>
      <c r="IV10" s="31"/>
      <c r="IW10" s="31"/>
      <c r="IX10" s="31"/>
      <c r="IY10" s="31"/>
      <c r="IZ10" s="31"/>
      <c r="JA10" s="31"/>
      <c r="JB10" s="31"/>
      <c r="JC10" s="31"/>
      <c r="JD10" s="31"/>
      <c r="JE10" s="31"/>
      <c r="JF10" s="31"/>
      <c r="JG10" s="31"/>
      <c r="JH10" s="31"/>
      <c r="JI10" s="31"/>
      <c r="JJ10" s="31"/>
      <c r="JK10" s="31"/>
      <c r="JL10" s="31"/>
      <c r="JM10" s="31"/>
      <c r="JN10" s="31"/>
      <c r="JO10" s="31"/>
      <c r="JP10" s="31"/>
      <c r="JQ10" s="31"/>
      <c r="JR10" s="31"/>
      <c r="JS10" s="31"/>
      <c r="JT10" s="31"/>
      <c r="JU10" s="31"/>
      <c r="JV10" s="31"/>
      <c r="JW10" s="31"/>
      <c r="JX10" s="31"/>
      <c r="JY10" s="31"/>
      <c r="JZ10" s="31"/>
      <c r="KA10" s="31"/>
      <c r="KB10" s="31"/>
      <c r="KC10" s="31"/>
      <c r="KD10" s="31"/>
      <c r="KE10" s="31"/>
      <c r="KF10" s="31"/>
      <c r="KG10" s="31"/>
      <c r="KH10" s="31"/>
      <c r="KI10" s="31"/>
      <c r="KJ10" s="31"/>
      <c r="KK10" s="31"/>
      <c r="KL10" s="31"/>
      <c r="KM10" s="31"/>
      <c r="KN10" s="31"/>
      <c r="KO10" s="31"/>
      <c r="KP10" s="31"/>
      <c r="KQ10" s="31"/>
      <c r="KR10" s="31"/>
      <c r="KS10" s="31"/>
      <c r="KT10" s="31"/>
      <c r="KU10" s="31"/>
      <c r="KV10" s="31"/>
      <c r="KW10" s="31"/>
      <c r="KX10" s="31"/>
      <c r="KY10" s="31"/>
      <c r="KZ10" s="31"/>
      <c r="LA10" s="31"/>
      <c r="LB10" s="31"/>
      <c r="LC10" s="31"/>
      <c r="LD10" s="31"/>
      <c r="LE10" s="31"/>
      <c r="LF10" s="31"/>
      <c r="LG10" s="31"/>
      <c r="LH10" s="31"/>
      <c r="LI10" s="31"/>
      <c r="LJ10" s="31"/>
      <c r="LK10" s="31"/>
      <c r="LL10" s="31"/>
      <c r="LM10" s="31"/>
      <c r="LN10" s="31"/>
      <c r="LO10" s="31"/>
      <c r="LP10" s="31"/>
      <c r="LQ10" s="31"/>
      <c r="LR10" s="31"/>
      <c r="LS10" s="31"/>
      <c r="LT10" s="31"/>
      <c r="LU10" s="31"/>
      <c r="LV10" s="31"/>
      <c r="LW10" s="31"/>
      <c r="LX10" s="31"/>
      <c r="LY10" s="31"/>
      <c r="LZ10" s="31"/>
      <c r="MA10" s="31"/>
      <c r="MB10" s="31"/>
      <c r="MC10" s="31"/>
      <c r="MD10" s="31"/>
      <c r="ME10" s="31"/>
      <c r="MF10" s="31"/>
    </row>
    <row r="11" spans="1:344" s="3" customFormat="1" ht="47.25" customHeight="1">
      <c r="A11" s="45"/>
      <c r="B11" s="119" t="str">
        <f>'OKR '!D25</f>
        <v>Formalizar equipe Intersetorial na CIB microrregional</v>
      </c>
      <c r="C11" s="119" t="str">
        <f>'OKR '!E25</f>
        <v>Gestores Municipais</v>
      </c>
      <c r="D11" s="17"/>
      <c r="E11" s="72">
        <f>'OKR '!G25</f>
        <v>46083</v>
      </c>
      <c r="F11" s="72">
        <f>'OKR '!H25</f>
        <v>46112</v>
      </c>
      <c r="G11" s="14"/>
      <c r="H11" s="14">
        <f t="shared" ca="1" si="332"/>
        <v>30</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c r="HD11" s="31"/>
      <c r="HE11" s="31"/>
      <c r="HF11" s="31"/>
      <c r="HG11" s="31"/>
      <c r="HH11" s="31"/>
      <c r="HI11" s="31"/>
      <c r="HJ11" s="31"/>
      <c r="HK11" s="31"/>
      <c r="HL11" s="31"/>
      <c r="HM11" s="31"/>
      <c r="HN11" s="31"/>
      <c r="HO11" s="31"/>
      <c r="HP11" s="31"/>
      <c r="HQ11" s="31"/>
      <c r="HR11" s="31"/>
      <c r="HS11" s="31"/>
      <c r="HT11" s="31"/>
      <c r="HU11" s="31"/>
      <c r="HV11" s="31"/>
      <c r="HW11" s="31"/>
      <c r="HX11" s="31"/>
      <c r="HY11" s="31"/>
      <c r="HZ11" s="31"/>
      <c r="IA11" s="31"/>
      <c r="IB11" s="31"/>
      <c r="IC11" s="31"/>
      <c r="ID11" s="31"/>
      <c r="IE11" s="31"/>
      <c r="IF11" s="31"/>
      <c r="IG11" s="31"/>
      <c r="IH11" s="31"/>
      <c r="II11" s="31"/>
      <c r="IJ11" s="31"/>
      <c r="IK11" s="31"/>
      <c r="IL11" s="31"/>
      <c r="IM11" s="31"/>
      <c r="IN11" s="31"/>
      <c r="IO11" s="31"/>
      <c r="IP11" s="31"/>
      <c r="IQ11" s="31"/>
      <c r="IR11" s="31"/>
      <c r="IS11" s="31"/>
      <c r="IT11" s="31"/>
      <c r="IU11" s="31"/>
      <c r="IV11" s="31"/>
      <c r="IW11" s="31"/>
      <c r="IX11" s="31"/>
      <c r="IY11" s="31"/>
      <c r="IZ11" s="31"/>
      <c r="JA11" s="31"/>
      <c r="JB11" s="31"/>
      <c r="JC11" s="31"/>
      <c r="JD11" s="31"/>
      <c r="JE11" s="31"/>
      <c r="JF11" s="31"/>
      <c r="JG11" s="31"/>
      <c r="JH11" s="31"/>
      <c r="JI11" s="31"/>
      <c r="JJ11" s="31"/>
      <c r="JK11" s="31"/>
      <c r="JL11" s="31"/>
      <c r="JM11" s="31"/>
      <c r="JN11" s="31"/>
      <c r="JO11" s="31"/>
      <c r="JP11" s="31"/>
      <c r="JQ11" s="31"/>
      <c r="JR11" s="31"/>
      <c r="JS11" s="31"/>
      <c r="JT11" s="31"/>
      <c r="JU11" s="31"/>
      <c r="JV11" s="31"/>
      <c r="JW11" s="31"/>
      <c r="JX11" s="31"/>
      <c r="JY11" s="31"/>
      <c r="JZ11" s="31"/>
      <c r="KA11" s="31"/>
      <c r="KB11" s="31"/>
      <c r="KC11" s="31"/>
      <c r="KD11" s="31"/>
      <c r="KE11" s="31"/>
      <c r="KF11" s="31"/>
      <c r="KG11" s="31"/>
      <c r="KH11" s="31"/>
      <c r="KI11" s="31"/>
      <c r="KJ11" s="31"/>
      <c r="KK11" s="31"/>
      <c r="KL11" s="31"/>
      <c r="KM11" s="31"/>
      <c r="KN11" s="31"/>
      <c r="KO11" s="31"/>
      <c r="KP11" s="31"/>
      <c r="KQ11" s="31"/>
      <c r="KR11" s="31"/>
      <c r="KS11" s="31"/>
      <c r="KT11" s="31"/>
      <c r="KU11" s="31"/>
      <c r="KV11" s="31"/>
      <c r="KW11" s="31"/>
      <c r="KX11" s="31"/>
      <c r="KY11" s="31"/>
      <c r="KZ11" s="31"/>
      <c r="LA11" s="31"/>
      <c r="LB11" s="31"/>
      <c r="LC11" s="31"/>
      <c r="LD11" s="31"/>
      <c r="LE11" s="31"/>
      <c r="LF11" s="31"/>
      <c r="LG11" s="31"/>
      <c r="LH11" s="31"/>
      <c r="LI11" s="31"/>
      <c r="LJ11" s="31"/>
      <c r="LK11" s="31"/>
      <c r="LL11" s="31"/>
      <c r="LM11" s="31"/>
      <c r="LN11" s="31"/>
      <c r="LO11" s="31"/>
      <c r="LP11" s="31"/>
      <c r="LQ11" s="31"/>
      <c r="LR11" s="31"/>
      <c r="LS11" s="31"/>
      <c r="LT11" s="31"/>
      <c r="LU11" s="31"/>
      <c r="LV11" s="31"/>
      <c r="LW11" s="31"/>
      <c r="LX11" s="31"/>
      <c r="LY11" s="31"/>
      <c r="LZ11" s="31"/>
      <c r="MA11" s="31"/>
      <c r="MB11" s="31"/>
      <c r="MC11" s="31"/>
      <c r="MD11" s="31"/>
      <c r="ME11" s="31"/>
      <c r="MF11" s="31"/>
    </row>
    <row r="12" spans="1:344" s="3" customFormat="1" ht="47.25" customHeight="1">
      <c r="A12" s="45"/>
      <c r="B12" s="119" t="str">
        <f>'OKR '!D26</f>
        <v>Capacitar equipe intersetorial</v>
      </c>
      <c r="C12" s="119" t="str">
        <f>'OKR '!E26</f>
        <v>NSDIGI</v>
      </c>
      <c r="D12" s="17"/>
      <c r="E12" s="72">
        <f>'OKR '!G26</f>
        <v>46083</v>
      </c>
      <c r="F12" s="72">
        <f>'OKR '!H26</f>
        <v>46142</v>
      </c>
      <c r="G12" s="14"/>
      <c r="H12" s="14">
        <f t="shared" ca="1" si="332"/>
        <v>60</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c r="HX12" s="31"/>
      <c r="HY12" s="31"/>
      <c r="HZ12" s="31"/>
      <c r="IA12" s="31"/>
      <c r="IB12" s="31"/>
      <c r="IC12" s="31"/>
      <c r="ID12" s="31"/>
      <c r="IE12" s="31"/>
      <c r="IF12" s="31"/>
      <c r="IG12" s="31"/>
      <c r="IH12" s="31"/>
      <c r="II12" s="31"/>
      <c r="IJ12" s="31"/>
      <c r="IK12" s="31"/>
      <c r="IL12" s="31"/>
      <c r="IM12" s="31"/>
      <c r="IN12" s="31"/>
      <c r="IO12" s="31"/>
      <c r="IP12" s="31"/>
      <c r="IQ12" s="31"/>
      <c r="IR12" s="31"/>
      <c r="IS12" s="31"/>
      <c r="IT12" s="31"/>
      <c r="IU12" s="31"/>
      <c r="IV12" s="31"/>
      <c r="IW12" s="31"/>
      <c r="IX12" s="31"/>
      <c r="IY12" s="31"/>
      <c r="IZ12" s="31"/>
      <c r="JA12" s="31"/>
      <c r="JB12" s="31"/>
      <c r="JC12" s="31"/>
      <c r="JD12" s="31"/>
      <c r="JE12" s="31"/>
      <c r="JF12" s="31"/>
      <c r="JG12" s="31"/>
      <c r="JH12" s="31"/>
      <c r="JI12" s="31"/>
      <c r="JJ12" s="31"/>
      <c r="JK12" s="31"/>
      <c r="JL12" s="31"/>
      <c r="JM12" s="31"/>
      <c r="JN12" s="31"/>
      <c r="JO12" s="31"/>
      <c r="JP12" s="31"/>
      <c r="JQ12" s="31"/>
      <c r="JR12" s="31"/>
      <c r="JS12" s="31"/>
      <c r="JT12" s="31"/>
      <c r="JU12" s="31"/>
      <c r="JV12" s="31"/>
      <c r="JW12" s="31"/>
      <c r="JX12" s="31"/>
      <c r="JY12" s="31"/>
      <c r="JZ12" s="31"/>
      <c r="KA12" s="31"/>
      <c r="KB12" s="31"/>
      <c r="KC12" s="31"/>
      <c r="KD12" s="31"/>
      <c r="KE12" s="31"/>
      <c r="KF12" s="31"/>
      <c r="KG12" s="31"/>
      <c r="KH12" s="31"/>
      <c r="KI12" s="31"/>
      <c r="KJ12" s="31"/>
      <c r="KK12" s="31"/>
      <c r="KL12" s="31"/>
      <c r="KM12" s="31"/>
      <c r="KN12" s="31"/>
      <c r="KO12" s="31"/>
      <c r="KP12" s="31"/>
      <c r="KQ12" s="31"/>
      <c r="KR12" s="31"/>
      <c r="KS12" s="31"/>
      <c r="KT12" s="31"/>
      <c r="KU12" s="31"/>
      <c r="KV12" s="31"/>
      <c r="KW12" s="31"/>
      <c r="KX12" s="31"/>
      <c r="KY12" s="31"/>
      <c r="KZ12" s="31"/>
      <c r="LA12" s="31"/>
      <c r="LB12" s="31"/>
      <c r="LC12" s="31"/>
      <c r="LD12" s="31"/>
      <c r="LE12" s="31"/>
      <c r="LF12" s="31"/>
      <c r="LG12" s="31"/>
      <c r="LH12" s="31"/>
      <c r="LI12" s="31"/>
      <c r="LJ12" s="31"/>
      <c r="LK12" s="31"/>
      <c r="LL12" s="31"/>
      <c r="LM12" s="31"/>
      <c r="LN12" s="31"/>
      <c r="LO12" s="31"/>
      <c r="LP12" s="31"/>
      <c r="LQ12" s="31"/>
      <c r="LR12" s="31"/>
      <c r="LS12" s="31"/>
      <c r="LT12" s="31"/>
      <c r="LU12" s="31"/>
      <c r="LV12" s="31"/>
      <c r="LW12" s="31"/>
      <c r="LX12" s="31"/>
      <c r="LY12" s="31"/>
      <c r="LZ12" s="31"/>
      <c r="MA12" s="31"/>
      <c r="MB12" s="31"/>
      <c r="MC12" s="31"/>
      <c r="MD12" s="31"/>
      <c r="ME12" s="31"/>
      <c r="MF12" s="31"/>
    </row>
    <row r="13" spans="1:344" s="3" customFormat="1" ht="15" hidden="1" customHeight="1">
      <c r="A13" s="45"/>
      <c r="B13" s="119">
        <f>'OKR '!D27</f>
        <v>0</v>
      </c>
      <c r="C13" s="119">
        <f>'OKR '!E27</f>
        <v>0</v>
      </c>
      <c r="D13" s="17"/>
      <c r="E13" s="72">
        <f>'OKR '!G27</f>
        <v>0</v>
      </c>
      <c r="F13" s="72">
        <f>'OKR '!H27</f>
        <v>0</v>
      </c>
      <c r="G13" s="14"/>
      <c r="H13" s="14">
        <f t="shared" ca="1" si="332"/>
        <v>1</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c r="HD13" s="31"/>
      <c r="HE13" s="31"/>
      <c r="HF13" s="31"/>
      <c r="HG13" s="31"/>
      <c r="HH13" s="31"/>
      <c r="HI13" s="31"/>
      <c r="HJ13" s="31"/>
      <c r="HK13" s="31"/>
      <c r="HL13" s="31"/>
      <c r="HM13" s="31"/>
      <c r="HN13" s="31"/>
      <c r="HO13" s="31"/>
      <c r="HP13" s="31"/>
      <c r="HQ13" s="31"/>
      <c r="HR13" s="31"/>
      <c r="HS13" s="31"/>
      <c r="HT13" s="31"/>
      <c r="HU13" s="31"/>
      <c r="HV13" s="31"/>
      <c r="HW13" s="31"/>
      <c r="HX13" s="31"/>
      <c r="HY13" s="31"/>
      <c r="HZ13" s="31"/>
      <c r="IA13" s="31"/>
      <c r="IB13" s="31"/>
      <c r="IC13" s="31"/>
      <c r="ID13" s="31"/>
      <c r="IE13" s="31"/>
      <c r="IF13" s="31"/>
      <c r="IG13" s="31"/>
      <c r="IH13" s="31"/>
      <c r="II13" s="31"/>
      <c r="IJ13" s="31"/>
      <c r="IK13" s="31"/>
      <c r="IL13" s="31"/>
      <c r="IM13" s="31"/>
      <c r="IN13" s="31"/>
      <c r="IO13" s="31"/>
      <c r="IP13" s="31"/>
      <c r="IQ13" s="31"/>
      <c r="IR13" s="31"/>
      <c r="IS13" s="31"/>
      <c r="IT13" s="31"/>
      <c r="IU13" s="31"/>
      <c r="IV13" s="31"/>
      <c r="IW13" s="31"/>
      <c r="IX13" s="31"/>
      <c r="IY13" s="31"/>
      <c r="IZ13" s="31"/>
      <c r="JA13" s="31"/>
      <c r="JB13" s="31"/>
      <c r="JC13" s="31"/>
      <c r="JD13" s="31"/>
      <c r="JE13" s="31"/>
      <c r="JF13" s="31"/>
      <c r="JG13" s="31"/>
      <c r="JH13" s="31"/>
      <c r="JI13" s="31"/>
      <c r="JJ13" s="31"/>
      <c r="JK13" s="31"/>
      <c r="JL13" s="31"/>
      <c r="JM13" s="31"/>
      <c r="JN13" s="31"/>
      <c r="JO13" s="31"/>
      <c r="JP13" s="31"/>
      <c r="JQ13" s="31"/>
      <c r="JR13" s="31"/>
      <c r="JS13" s="31"/>
      <c r="JT13" s="31"/>
      <c r="JU13" s="31"/>
      <c r="JV13" s="31"/>
      <c r="JW13" s="31"/>
      <c r="JX13" s="31"/>
      <c r="JY13" s="31"/>
      <c r="JZ13" s="31"/>
      <c r="KA13" s="31"/>
      <c r="KB13" s="31"/>
      <c r="KC13" s="31"/>
      <c r="KD13" s="31"/>
      <c r="KE13" s="31"/>
      <c r="KF13" s="31"/>
      <c r="KG13" s="31"/>
      <c r="KH13" s="31"/>
      <c r="KI13" s="31"/>
      <c r="KJ13" s="31"/>
      <c r="KK13" s="31"/>
      <c r="KL13" s="31"/>
      <c r="KM13" s="31"/>
      <c r="KN13" s="31"/>
      <c r="KO13" s="31"/>
      <c r="KP13" s="31"/>
      <c r="KQ13" s="31"/>
      <c r="KR13" s="31"/>
      <c r="KS13" s="31"/>
      <c r="KT13" s="31"/>
      <c r="KU13" s="31"/>
      <c r="KV13" s="31"/>
      <c r="KW13" s="31"/>
      <c r="KX13" s="31"/>
      <c r="KY13" s="31"/>
      <c r="KZ13" s="31"/>
      <c r="LA13" s="31"/>
      <c r="LB13" s="31"/>
      <c r="LC13" s="31"/>
      <c r="LD13" s="31"/>
      <c r="LE13" s="31"/>
      <c r="LF13" s="31"/>
      <c r="LG13" s="31"/>
      <c r="LH13" s="31"/>
      <c r="LI13" s="31"/>
      <c r="LJ13" s="31"/>
      <c r="LK13" s="31"/>
      <c r="LL13" s="31"/>
      <c r="LM13" s="31"/>
      <c r="LN13" s="31"/>
      <c r="LO13" s="31"/>
      <c r="LP13" s="31"/>
      <c r="LQ13" s="31"/>
      <c r="LR13" s="31"/>
      <c r="LS13" s="31"/>
      <c r="LT13" s="31"/>
      <c r="LU13" s="31"/>
      <c r="LV13" s="31"/>
      <c r="LW13" s="31"/>
      <c r="LX13" s="31"/>
      <c r="LY13" s="31"/>
      <c r="LZ13" s="31"/>
      <c r="MA13" s="31"/>
      <c r="MB13" s="31"/>
      <c r="MC13" s="31"/>
      <c r="MD13" s="31"/>
      <c r="ME13" s="31"/>
      <c r="MF13" s="31"/>
    </row>
    <row r="14" spans="1:344" s="3" customFormat="1" ht="15" hidden="1" customHeight="1">
      <c r="A14" s="45"/>
      <c r="B14" s="119">
        <f>'OKR '!D28</f>
        <v>0</v>
      </c>
      <c r="C14" s="119">
        <f>'OKR '!E28</f>
        <v>0</v>
      </c>
      <c r="D14" s="17"/>
      <c r="E14" s="72">
        <f>'OKR '!G28</f>
        <v>0</v>
      </c>
      <c r="F14" s="72">
        <f>'OKR '!H28</f>
        <v>0</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c r="GG14" s="31"/>
      <c r="GH14" s="31"/>
      <c r="GI14" s="31"/>
      <c r="GJ14" s="31"/>
      <c r="GK14" s="31"/>
      <c r="GL14" s="31"/>
      <c r="GM14" s="31"/>
      <c r="GN14" s="31"/>
      <c r="GO14" s="31"/>
      <c r="GP14" s="31"/>
      <c r="GQ14" s="31"/>
      <c r="GR14" s="31"/>
      <c r="GS14" s="31"/>
      <c r="GT14" s="31"/>
      <c r="GU14" s="31"/>
      <c r="GV14" s="31"/>
      <c r="GW14" s="31"/>
      <c r="GX14" s="31"/>
      <c r="GY14" s="31"/>
      <c r="GZ14" s="31"/>
      <c r="HA14" s="31"/>
      <c r="HB14" s="31"/>
      <c r="HC14" s="31"/>
      <c r="HD14" s="31"/>
      <c r="HE14" s="31"/>
      <c r="HF14" s="31"/>
      <c r="HG14" s="31"/>
      <c r="HH14" s="31"/>
      <c r="HI14" s="31"/>
      <c r="HJ14" s="31"/>
      <c r="HK14" s="31"/>
      <c r="HL14" s="31"/>
      <c r="HM14" s="31"/>
      <c r="HN14" s="31"/>
      <c r="HO14" s="31"/>
      <c r="HP14" s="31"/>
      <c r="HQ14" s="31"/>
      <c r="HR14" s="31"/>
      <c r="HS14" s="31"/>
      <c r="HT14" s="31"/>
      <c r="HU14" s="31"/>
      <c r="HV14" s="31"/>
      <c r="HW14" s="31"/>
      <c r="HX14" s="31"/>
      <c r="HY14" s="31"/>
      <c r="HZ14" s="31"/>
      <c r="IA14" s="31"/>
      <c r="IB14" s="31"/>
      <c r="IC14" s="31"/>
      <c r="ID14" s="31"/>
      <c r="IE14" s="31"/>
      <c r="IF14" s="31"/>
      <c r="IG14" s="31"/>
      <c r="IH14" s="31"/>
      <c r="II14" s="31"/>
      <c r="IJ14" s="31"/>
      <c r="IK14" s="31"/>
      <c r="IL14" s="31"/>
      <c r="IM14" s="31"/>
      <c r="IN14" s="31"/>
      <c r="IO14" s="31"/>
      <c r="IP14" s="31"/>
      <c r="IQ14" s="31"/>
      <c r="IR14" s="31"/>
      <c r="IS14" s="31"/>
      <c r="IT14" s="31"/>
      <c r="IU14" s="31"/>
      <c r="IV14" s="31"/>
      <c r="IW14" s="31"/>
      <c r="IX14" s="31"/>
      <c r="IY14" s="31"/>
      <c r="IZ14" s="31"/>
      <c r="JA14" s="31"/>
      <c r="JB14" s="31"/>
      <c r="JC14" s="31"/>
      <c r="JD14" s="31"/>
      <c r="JE14" s="31"/>
      <c r="JF14" s="31"/>
      <c r="JG14" s="31"/>
      <c r="JH14" s="31"/>
      <c r="JI14" s="31"/>
      <c r="JJ14" s="31"/>
      <c r="JK14" s="31"/>
      <c r="JL14" s="31"/>
      <c r="JM14" s="31"/>
      <c r="JN14" s="31"/>
      <c r="JO14" s="31"/>
      <c r="JP14" s="31"/>
      <c r="JQ14" s="31"/>
      <c r="JR14" s="31"/>
      <c r="JS14" s="31"/>
      <c r="JT14" s="31"/>
      <c r="JU14" s="31"/>
      <c r="JV14" s="31"/>
      <c r="JW14" s="31"/>
      <c r="JX14" s="31"/>
      <c r="JY14" s="31"/>
      <c r="JZ14" s="31"/>
      <c r="KA14" s="31"/>
      <c r="KB14" s="31"/>
      <c r="KC14" s="31"/>
      <c r="KD14" s="31"/>
      <c r="KE14" s="31"/>
      <c r="KF14" s="31"/>
      <c r="KG14" s="31"/>
      <c r="KH14" s="31"/>
      <c r="KI14" s="31"/>
      <c r="KJ14" s="31"/>
      <c r="KK14" s="31"/>
      <c r="KL14" s="31"/>
      <c r="KM14" s="31"/>
      <c r="KN14" s="31"/>
      <c r="KO14" s="31"/>
      <c r="KP14" s="31"/>
      <c r="KQ14" s="31"/>
      <c r="KR14" s="31"/>
      <c r="KS14" s="31"/>
      <c r="KT14" s="31"/>
      <c r="KU14" s="31"/>
      <c r="KV14" s="31"/>
      <c r="KW14" s="31"/>
      <c r="KX14" s="31"/>
      <c r="KY14" s="31"/>
      <c r="KZ14" s="31"/>
      <c r="LA14" s="31"/>
      <c r="LB14" s="31"/>
      <c r="LC14" s="31"/>
      <c r="LD14" s="31"/>
      <c r="LE14" s="31"/>
      <c r="LF14" s="31"/>
      <c r="LG14" s="31"/>
      <c r="LH14" s="31"/>
      <c r="LI14" s="31"/>
      <c r="LJ14" s="31"/>
      <c r="LK14" s="31"/>
      <c r="LL14" s="31"/>
      <c r="LM14" s="31"/>
      <c r="LN14" s="31"/>
      <c r="LO14" s="31"/>
      <c r="LP14" s="31"/>
      <c r="LQ14" s="31"/>
      <c r="LR14" s="31"/>
      <c r="LS14" s="31"/>
      <c r="LT14" s="31"/>
      <c r="LU14" s="31"/>
      <c r="LV14" s="31"/>
      <c r="LW14" s="31"/>
      <c r="LX14" s="31"/>
      <c r="LY14" s="31"/>
      <c r="LZ14" s="31"/>
      <c r="MA14" s="31"/>
      <c r="MB14" s="31"/>
      <c r="MC14" s="31"/>
      <c r="MD14" s="31"/>
      <c r="ME14" s="31"/>
      <c r="MF14" s="31"/>
    </row>
    <row r="15" spans="1:344" s="3" customFormat="1" ht="15" hidden="1" customHeight="1">
      <c r="A15" s="45"/>
      <c r="B15" s="119">
        <f>'OKR '!D29</f>
        <v>0</v>
      </c>
      <c r="C15" s="119">
        <f>'OKR '!E29</f>
        <v>0</v>
      </c>
      <c r="D15" s="17"/>
      <c r="E15" s="72">
        <f>'OKR '!G29</f>
        <v>0</v>
      </c>
      <c r="F15" s="72">
        <f>'OKR '!H29</f>
        <v>0</v>
      </c>
      <c r="G15" s="14"/>
      <c r="H15" s="14"/>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c r="IW15" s="31"/>
      <c r="IX15" s="31"/>
      <c r="IY15" s="31"/>
      <c r="IZ15" s="31"/>
      <c r="JA15" s="31"/>
      <c r="JB15" s="31"/>
      <c r="JC15" s="31"/>
      <c r="JD15" s="31"/>
      <c r="JE15" s="31"/>
      <c r="JF15" s="31"/>
      <c r="JG15" s="31"/>
      <c r="JH15" s="31"/>
      <c r="JI15" s="31"/>
      <c r="JJ15" s="31"/>
      <c r="JK15" s="31"/>
      <c r="JL15" s="31"/>
      <c r="JM15" s="31"/>
      <c r="JN15" s="31"/>
      <c r="JO15" s="31"/>
      <c r="JP15" s="31"/>
      <c r="JQ15" s="31"/>
      <c r="JR15" s="31"/>
      <c r="JS15" s="31"/>
      <c r="JT15" s="31"/>
      <c r="JU15" s="31"/>
      <c r="JV15" s="31"/>
      <c r="JW15" s="31"/>
      <c r="JX15" s="31"/>
      <c r="JY15" s="31"/>
      <c r="JZ15" s="31"/>
      <c r="KA15" s="31"/>
      <c r="KB15" s="31"/>
      <c r="KC15" s="31"/>
      <c r="KD15" s="31"/>
      <c r="KE15" s="31"/>
      <c r="KF15" s="31"/>
      <c r="KG15" s="31"/>
      <c r="KH15" s="31"/>
      <c r="KI15" s="31"/>
      <c r="KJ15" s="31"/>
      <c r="KK15" s="31"/>
      <c r="KL15" s="31"/>
      <c r="KM15" s="31"/>
      <c r="KN15" s="31"/>
      <c r="KO15" s="31"/>
      <c r="KP15" s="31"/>
      <c r="KQ15" s="31"/>
      <c r="KR15" s="31"/>
      <c r="KS15" s="31"/>
      <c r="KT15" s="31"/>
      <c r="KU15" s="31"/>
      <c r="KV15" s="31"/>
      <c r="KW15" s="31"/>
      <c r="KX15" s="31"/>
      <c r="KY15" s="31"/>
      <c r="KZ15" s="31"/>
      <c r="LA15" s="31"/>
      <c r="LB15" s="31"/>
      <c r="LC15" s="31"/>
      <c r="LD15" s="31"/>
      <c r="LE15" s="31"/>
      <c r="LF15" s="31"/>
      <c r="LG15" s="31"/>
      <c r="LH15" s="31"/>
      <c r="LI15" s="31"/>
      <c r="LJ15" s="31"/>
      <c r="LK15" s="31"/>
      <c r="LL15" s="31"/>
      <c r="LM15" s="31"/>
      <c r="LN15" s="31"/>
      <c r="LO15" s="31"/>
      <c r="LP15" s="31"/>
      <c r="LQ15" s="31"/>
      <c r="LR15" s="31"/>
      <c r="LS15" s="31"/>
      <c r="LT15" s="31"/>
      <c r="LU15" s="31"/>
      <c r="LV15" s="31"/>
      <c r="LW15" s="31"/>
      <c r="LX15" s="31"/>
      <c r="LY15" s="31"/>
      <c r="LZ15" s="31"/>
      <c r="MA15" s="31"/>
      <c r="MB15" s="31"/>
      <c r="MC15" s="31"/>
      <c r="MD15" s="31"/>
      <c r="ME15" s="31"/>
      <c r="MF15" s="31"/>
    </row>
    <row r="16" spans="1:344" s="3" customFormat="1" ht="15" hidden="1" customHeight="1">
      <c r="A16" s="45"/>
      <c r="B16" s="119">
        <f>'OKR '!D30</f>
        <v>0</v>
      </c>
      <c r="C16" s="119">
        <f>'OKR '!E30</f>
        <v>0</v>
      </c>
      <c r="D16" s="17"/>
      <c r="E16" s="72">
        <f>'OKR '!G30</f>
        <v>0</v>
      </c>
      <c r="F16" s="72">
        <f>'OKR '!H30</f>
        <v>0</v>
      </c>
      <c r="G16" s="14"/>
      <c r="H16" s="14"/>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c r="HD16" s="31"/>
      <c r="HE16" s="31"/>
      <c r="HF16" s="31"/>
      <c r="HG16" s="31"/>
      <c r="HH16" s="31"/>
      <c r="HI16" s="31"/>
      <c r="HJ16" s="31"/>
      <c r="HK16" s="31"/>
      <c r="HL16" s="31"/>
      <c r="HM16" s="31"/>
      <c r="HN16" s="31"/>
      <c r="HO16" s="31"/>
      <c r="HP16" s="31"/>
      <c r="HQ16" s="31"/>
      <c r="HR16" s="31"/>
      <c r="HS16" s="31"/>
      <c r="HT16" s="31"/>
      <c r="HU16" s="31"/>
      <c r="HV16" s="31"/>
      <c r="HW16" s="31"/>
      <c r="HX16" s="31"/>
      <c r="HY16" s="31"/>
      <c r="HZ16" s="31"/>
      <c r="IA16" s="31"/>
      <c r="IB16" s="31"/>
      <c r="IC16" s="31"/>
      <c r="ID16" s="31"/>
      <c r="IE16" s="31"/>
      <c r="IF16" s="31"/>
      <c r="IG16" s="31"/>
      <c r="IH16" s="31"/>
      <c r="II16" s="31"/>
      <c r="IJ16" s="31"/>
      <c r="IK16" s="31"/>
      <c r="IL16" s="31"/>
      <c r="IM16" s="31"/>
      <c r="IN16" s="31"/>
      <c r="IO16" s="31"/>
      <c r="IP16" s="31"/>
      <c r="IQ16" s="31"/>
      <c r="IR16" s="31"/>
      <c r="IS16" s="31"/>
      <c r="IT16" s="31"/>
      <c r="IU16" s="31"/>
      <c r="IV16" s="31"/>
      <c r="IW16" s="31"/>
      <c r="IX16" s="31"/>
      <c r="IY16" s="31"/>
      <c r="IZ16" s="31"/>
      <c r="JA16" s="31"/>
      <c r="JB16" s="31"/>
      <c r="JC16" s="31"/>
      <c r="JD16" s="31"/>
      <c r="JE16" s="31"/>
      <c r="JF16" s="31"/>
      <c r="JG16" s="31"/>
      <c r="JH16" s="31"/>
      <c r="JI16" s="31"/>
      <c r="JJ16" s="31"/>
      <c r="JK16" s="31"/>
      <c r="JL16" s="31"/>
      <c r="JM16" s="31"/>
      <c r="JN16" s="31"/>
      <c r="JO16" s="31"/>
      <c r="JP16" s="31"/>
      <c r="JQ16" s="31"/>
      <c r="JR16" s="31"/>
      <c r="JS16" s="31"/>
      <c r="JT16" s="31"/>
      <c r="JU16" s="31"/>
      <c r="JV16" s="31"/>
      <c r="JW16" s="31"/>
      <c r="JX16" s="31"/>
      <c r="JY16" s="31"/>
      <c r="JZ16" s="31"/>
      <c r="KA16" s="31"/>
      <c r="KB16" s="31"/>
      <c r="KC16" s="31"/>
      <c r="KD16" s="31"/>
      <c r="KE16" s="31"/>
      <c r="KF16" s="31"/>
      <c r="KG16" s="31"/>
      <c r="KH16" s="31"/>
      <c r="KI16" s="31"/>
      <c r="KJ16" s="31"/>
      <c r="KK16" s="31"/>
      <c r="KL16" s="31"/>
      <c r="KM16" s="31"/>
      <c r="KN16" s="31"/>
      <c r="KO16" s="31"/>
      <c r="KP16" s="31"/>
      <c r="KQ16" s="31"/>
      <c r="KR16" s="31"/>
      <c r="KS16" s="31"/>
      <c r="KT16" s="31"/>
      <c r="KU16" s="31"/>
      <c r="KV16" s="31"/>
      <c r="KW16" s="31"/>
      <c r="KX16" s="31"/>
      <c r="KY16" s="31"/>
      <c r="KZ16" s="31"/>
      <c r="LA16" s="31"/>
      <c r="LB16" s="31"/>
      <c r="LC16" s="31"/>
      <c r="LD16" s="31"/>
      <c r="LE16" s="31"/>
      <c r="LF16" s="31"/>
      <c r="LG16" s="31"/>
      <c r="LH16" s="31"/>
      <c r="LI16" s="31"/>
      <c r="LJ16" s="31"/>
      <c r="LK16" s="31"/>
      <c r="LL16" s="31"/>
      <c r="LM16" s="31"/>
      <c r="LN16" s="31"/>
      <c r="LO16" s="31"/>
      <c r="LP16" s="31"/>
      <c r="LQ16" s="31"/>
      <c r="LR16" s="31"/>
      <c r="LS16" s="31"/>
      <c r="LT16" s="31"/>
      <c r="LU16" s="31"/>
      <c r="LV16" s="31"/>
      <c r="LW16" s="31"/>
      <c r="LX16" s="31"/>
      <c r="LY16" s="31"/>
      <c r="LZ16" s="31"/>
      <c r="MA16" s="31"/>
      <c r="MB16" s="31"/>
      <c r="MC16" s="31"/>
      <c r="MD16" s="31"/>
      <c r="ME16" s="31"/>
      <c r="MF16" s="31"/>
    </row>
    <row r="17" spans="1:344" s="3" customFormat="1" ht="15" hidden="1" customHeight="1">
      <c r="A17" s="45"/>
      <c r="B17" s="119">
        <f>'OKR '!D31</f>
        <v>0</v>
      </c>
      <c r="C17" s="119">
        <f>'OKR '!E31</f>
        <v>0</v>
      </c>
      <c r="D17" s="17"/>
      <c r="E17" s="72">
        <f>'OKR '!G31</f>
        <v>0</v>
      </c>
      <c r="F17" s="72">
        <f>'OKR '!H31</f>
        <v>0</v>
      </c>
      <c r="G17" s="14"/>
      <c r="H17" s="14"/>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c r="JG17" s="31"/>
      <c r="JH17" s="31"/>
      <c r="JI17" s="31"/>
      <c r="JJ17" s="31"/>
      <c r="JK17" s="31"/>
      <c r="JL17" s="31"/>
      <c r="JM17" s="31"/>
      <c r="JN17" s="31"/>
      <c r="JO17" s="31"/>
      <c r="JP17" s="31"/>
      <c r="JQ17" s="31"/>
      <c r="JR17" s="31"/>
      <c r="JS17" s="31"/>
      <c r="JT17" s="31"/>
      <c r="JU17" s="31"/>
      <c r="JV17" s="31"/>
      <c r="JW17" s="31"/>
      <c r="JX17" s="31"/>
      <c r="JY17" s="31"/>
      <c r="JZ17" s="31"/>
      <c r="KA17" s="31"/>
      <c r="KB17" s="31"/>
      <c r="KC17" s="31"/>
      <c r="KD17" s="31"/>
      <c r="KE17" s="31"/>
      <c r="KF17" s="31"/>
      <c r="KG17" s="31"/>
      <c r="KH17" s="31"/>
      <c r="KI17" s="31"/>
      <c r="KJ17" s="31"/>
      <c r="KK17" s="31"/>
      <c r="KL17" s="31"/>
      <c r="KM17" s="31"/>
      <c r="KN17" s="31"/>
      <c r="KO17" s="31"/>
      <c r="KP17" s="31"/>
      <c r="KQ17" s="31"/>
      <c r="KR17" s="31"/>
      <c r="KS17" s="31"/>
      <c r="KT17" s="31"/>
      <c r="KU17" s="31"/>
      <c r="KV17" s="31"/>
      <c r="KW17" s="31"/>
      <c r="KX17" s="31"/>
      <c r="KY17" s="31"/>
      <c r="KZ17" s="31"/>
      <c r="LA17" s="31"/>
      <c r="LB17" s="31"/>
      <c r="LC17" s="31"/>
      <c r="LD17" s="31"/>
      <c r="LE17" s="31"/>
      <c r="LF17" s="31"/>
      <c r="LG17" s="31"/>
      <c r="LH17" s="31"/>
      <c r="LI17" s="31"/>
      <c r="LJ17" s="31"/>
      <c r="LK17" s="31"/>
      <c r="LL17" s="31"/>
      <c r="LM17" s="31"/>
      <c r="LN17" s="31"/>
      <c r="LO17" s="31"/>
      <c r="LP17" s="31"/>
      <c r="LQ17" s="31"/>
      <c r="LR17" s="31"/>
      <c r="LS17" s="31"/>
      <c r="LT17" s="31"/>
      <c r="LU17" s="31"/>
      <c r="LV17" s="31"/>
      <c r="LW17" s="31"/>
      <c r="LX17" s="31"/>
      <c r="LY17" s="31"/>
      <c r="LZ17" s="31"/>
      <c r="MA17" s="31"/>
      <c r="MB17" s="31"/>
      <c r="MC17" s="31"/>
      <c r="MD17" s="31"/>
      <c r="ME17" s="31"/>
      <c r="MF17" s="31"/>
    </row>
    <row r="18" spans="1:344" s="3" customFormat="1" ht="15" hidden="1" customHeight="1">
      <c r="A18" s="45"/>
      <c r="B18" s="119">
        <f>'OKR '!D32</f>
        <v>0</v>
      </c>
      <c r="C18" s="119">
        <f>'OKR '!E32</f>
        <v>0</v>
      </c>
      <c r="D18" s="17"/>
      <c r="E18" s="72">
        <f>'OKR '!G32</f>
        <v>0</v>
      </c>
      <c r="F18" s="72">
        <f>'OKR '!H32</f>
        <v>0</v>
      </c>
      <c r="G18" s="14"/>
      <c r="H18" s="14"/>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c r="HD18" s="31"/>
      <c r="HE18" s="31"/>
      <c r="HF18" s="31"/>
      <c r="HG18" s="31"/>
      <c r="HH18" s="31"/>
      <c r="HI18" s="31"/>
      <c r="HJ18" s="31"/>
      <c r="HK18" s="31"/>
      <c r="HL18" s="31"/>
      <c r="HM18" s="31"/>
      <c r="HN18" s="31"/>
      <c r="HO18" s="31"/>
      <c r="HP18" s="31"/>
      <c r="HQ18" s="31"/>
      <c r="HR18" s="31"/>
      <c r="HS18" s="31"/>
      <c r="HT18" s="31"/>
      <c r="HU18" s="31"/>
      <c r="HV18" s="31"/>
      <c r="HW18" s="31"/>
      <c r="HX18" s="31"/>
      <c r="HY18" s="31"/>
      <c r="HZ18" s="31"/>
      <c r="IA18" s="31"/>
      <c r="IB18" s="31"/>
      <c r="IC18" s="31"/>
      <c r="ID18" s="31"/>
      <c r="IE18" s="31"/>
      <c r="IF18" s="31"/>
      <c r="IG18" s="31"/>
      <c r="IH18" s="31"/>
      <c r="II18" s="31"/>
      <c r="IJ18" s="31"/>
      <c r="IK18" s="31"/>
      <c r="IL18" s="31"/>
      <c r="IM18" s="31"/>
      <c r="IN18" s="31"/>
      <c r="IO18" s="31"/>
      <c r="IP18" s="31"/>
      <c r="IQ18" s="31"/>
      <c r="IR18" s="31"/>
      <c r="IS18" s="31"/>
      <c r="IT18" s="31"/>
      <c r="IU18" s="31"/>
      <c r="IV18" s="31"/>
      <c r="IW18" s="31"/>
      <c r="IX18" s="31"/>
      <c r="IY18" s="31"/>
      <c r="IZ18" s="31"/>
      <c r="JA18" s="31"/>
      <c r="JB18" s="31"/>
      <c r="JC18" s="31"/>
      <c r="JD18" s="31"/>
      <c r="JE18" s="31"/>
      <c r="JF18" s="31"/>
      <c r="JG18" s="31"/>
      <c r="JH18" s="31"/>
      <c r="JI18" s="31"/>
      <c r="JJ18" s="31"/>
      <c r="JK18" s="31"/>
      <c r="JL18" s="31"/>
      <c r="JM18" s="31"/>
      <c r="JN18" s="31"/>
      <c r="JO18" s="31"/>
      <c r="JP18" s="31"/>
      <c r="JQ18" s="31"/>
      <c r="JR18" s="31"/>
      <c r="JS18" s="31"/>
      <c r="JT18" s="31"/>
      <c r="JU18" s="31"/>
      <c r="JV18" s="31"/>
      <c r="JW18" s="31"/>
      <c r="JX18" s="31"/>
      <c r="JY18" s="31"/>
      <c r="JZ18" s="31"/>
      <c r="KA18" s="31"/>
      <c r="KB18" s="31"/>
      <c r="KC18" s="31"/>
      <c r="KD18" s="31"/>
      <c r="KE18" s="31"/>
      <c r="KF18" s="31"/>
      <c r="KG18" s="31"/>
      <c r="KH18" s="31"/>
      <c r="KI18" s="31"/>
      <c r="KJ18" s="31"/>
      <c r="KK18" s="31"/>
      <c r="KL18" s="31"/>
      <c r="KM18" s="31"/>
      <c r="KN18" s="31"/>
      <c r="KO18" s="31"/>
      <c r="KP18" s="31"/>
      <c r="KQ18" s="31"/>
      <c r="KR18" s="31"/>
      <c r="KS18" s="31"/>
      <c r="KT18" s="31"/>
      <c r="KU18" s="31"/>
      <c r="KV18" s="31"/>
      <c r="KW18" s="31"/>
      <c r="KX18" s="31"/>
      <c r="KY18" s="31"/>
      <c r="KZ18" s="31"/>
      <c r="LA18" s="31"/>
      <c r="LB18" s="31"/>
      <c r="LC18" s="31"/>
      <c r="LD18" s="31"/>
      <c r="LE18" s="31"/>
      <c r="LF18" s="31"/>
      <c r="LG18" s="31"/>
      <c r="LH18" s="31"/>
      <c r="LI18" s="31"/>
      <c r="LJ18" s="31"/>
      <c r="LK18" s="31"/>
      <c r="LL18" s="31"/>
      <c r="LM18" s="31"/>
      <c r="LN18" s="31"/>
      <c r="LO18" s="31"/>
      <c r="LP18" s="31"/>
      <c r="LQ18" s="31"/>
      <c r="LR18" s="31"/>
      <c r="LS18" s="31"/>
      <c r="LT18" s="31"/>
      <c r="LU18" s="31"/>
      <c r="LV18" s="31"/>
      <c r="LW18" s="31"/>
      <c r="LX18" s="31"/>
      <c r="LY18" s="31"/>
      <c r="LZ18" s="31"/>
      <c r="MA18" s="31"/>
      <c r="MB18" s="31"/>
      <c r="MC18" s="31"/>
      <c r="MD18" s="31"/>
      <c r="ME18" s="31"/>
      <c r="MF18" s="31"/>
    </row>
    <row r="19" spans="1:344" s="3" customFormat="1" ht="15" hidden="1" customHeight="1">
      <c r="A19" s="45"/>
      <c r="B19" s="119">
        <f>'OKR '!D33</f>
        <v>0</v>
      </c>
      <c r="C19" s="119">
        <f>'OKR '!E33</f>
        <v>0</v>
      </c>
      <c r="D19" s="17"/>
      <c r="E19" s="72">
        <f>'OKR '!G33</f>
        <v>0</v>
      </c>
      <c r="F19" s="72">
        <f>'OKR '!H33</f>
        <v>0</v>
      </c>
      <c r="G19" s="14"/>
      <c r="H19" s="14"/>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c r="IX19" s="31"/>
      <c r="IY19" s="31"/>
      <c r="IZ19" s="31"/>
      <c r="JA19" s="31"/>
      <c r="JB19" s="31"/>
      <c r="JC19" s="31"/>
      <c r="JD19" s="31"/>
      <c r="JE19" s="31"/>
      <c r="JF19" s="31"/>
      <c r="JG19" s="31"/>
      <c r="JH19" s="31"/>
      <c r="JI19" s="31"/>
      <c r="JJ19" s="31"/>
      <c r="JK19" s="31"/>
      <c r="JL19" s="31"/>
      <c r="JM19" s="31"/>
      <c r="JN19" s="31"/>
      <c r="JO19" s="31"/>
      <c r="JP19" s="31"/>
      <c r="JQ19" s="31"/>
      <c r="JR19" s="31"/>
      <c r="JS19" s="31"/>
      <c r="JT19" s="31"/>
      <c r="JU19" s="31"/>
      <c r="JV19" s="31"/>
      <c r="JW19" s="31"/>
      <c r="JX19" s="31"/>
      <c r="JY19" s="31"/>
      <c r="JZ19" s="31"/>
      <c r="KA19" s="31"/>
      <c r="KB19" s="31"/>
      <c r="KC19" s="31"/>
      <c r="KD19" s="31"/>
      <c r="KE19" s="31"/>
      <c r="KF19" s="31"/>
      <c r="KG19" s="31"/>
      <c r="KH19" s="31"/>
      <c r="KI19" s="31"/>
      <c r="KJ19" s="31"/>
      <c r="KK19" s="31"/>
      <c r="KL19" s="31"/>
      <c r="KM19" s="31"/>
      <c r="KN19" s="31"/>
      <c r="KO19" s="31"/>
      <c r="KP19" s="31"/>
      <c r="KQ19" s="31"/>
      <c r="KR19" s="31"/>
      <c r="KS19" s="31"/>
      <c r="KT19" s="31"/>
      <c r="KU19" s="31"/>
      <c r="KV19" s="31"/>
      <c r="KW19" s="31"/>
      <c r="KX19" s="31"/>
      <c r="KY19" s="31"/>
      <c r="KZ19" s="31"/>
      <c r="LA19" s="31"/>
      <c r="LB19" s="31"/>
      <c r="LC19" s="31"/>
      <c r="LD19" s="31"/>
      <c r="LE19" s="31"/>
      <c r="LF19" s="31"/>
      <c r="LG19" s="31"/>
      <c r="LH19" s="31"/>
      <c r="LI19" s="31"/>
      <c r="LJ19" s="31"/>
      <c r="LK19" s="31"/>
      <c r="LL19" s="31"/>
      <c r="LM19" s="31"/>
      <c r="LN19" s="31"/>
      <c r="LO19" s="31"/>
      <c r="LP19" s="31"/>
      <c r="LQ19" s="31"/>
      <c r="LR19" s="31"/>
      <c r="LS19" s="31"/>
      <c r="LT19" s="31"/>
      <c r="LU19" s="31"/>
      <c r="LV19" s="31"/>
      <c r="LW19" s="31"/>
      <c r="LX19" s="31"/>
      <c r="LY19" s="31"/>
      <c r="LZ19" s="31"/>
      <c r="MA19" s="31"/>
      <c r="MB19" s="31"/>
      <c r="MC19" s="31"/>
      <c r="MD19" s="31"/>
      <c r="ME19" s="31"/>
      <c r="MF19" s="31"/>
    </row>
    <row r="20" spans="1:344" s="3" customFormat="1" ht="15" hidden="1" customHeight="1">
      <c r="A20" s="45"/>
      <c r="B20" s="119">
        <f>'OKR '!D34</f>
        <v>0</v>
      </c>
      <c r="C20" s="119">
        <f>'OKR '!E34</f>
        <v>0</v>
      </c>
      <c r="D20" s="17"/>
      <c r="E20" s="72">
        <f>'OKR '!G34</f>
        <v>0</v>
      </c>
      <c r="F20" s="72">
        <f>'OKR '!H34</f>
        <v>0</v>
      </c>
      <c r="G20" s="14"/>
      <c r="H20" s="14"/>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c r="GG20" s="31"/>
      <c r="GH20" s="31"/>
      <c r="GI20" s="31"/>
      <c r="GJ20" s="31"/>
      <c r="GK20" s="31"/>
      <c r="GL20" s="31"/>
      <c r="GM20" s="31"/>
      <c r="GN20" s="31"/>
      <c r="GO20" s="31"/>
      <c r="GP20" s="31"/>
      <c r="GQ20" s="31"/>
      <c r="GR20" s="31"/>
      <c r="GS20" s="31"/>
      <c r="GT20" s="31"/>
      <c r="GU20" s="31"/>
      <c r="GV20" s="31"/>
      <c r="GW20" s="31"/>
      <c r="GX20" s="31"/>
      <c r="GY20" s="31"/>
      <c r="GZ20" s="31"/>
      <c r="HA20" s="31"/>
      <c r="HB20" s="31"/>
      <c r="HC20" s="31"/>
      <c r="HD20" s="31"/>
      <c r="HE20" s="31"/>
      <c r="HF20" s="31"/>
      <c r="HG20" s="31"/>
      <c r="HH20" s="31"/>
      <c r="HI20" s="31"/>
      <c r="HJ20" s="31"/>
      <c r="HK20" s="31"/>
      <c r="HL20" s="31"/>
      <c r="HM20" s="31"/>
      <c r="HN20" s="31"/>
      <c r="HO20" s="31"/>
      <c r="HP20" s="31"/>
      <c r="HQ20" s="31"/>
      <c r="HR20" s="31"/>
      <c r="HS20" s="31"/>
      <c r="HT20" s="31"/>
      <c r="HU20" s="31"/>
      <c r="HV20" s="31"/>
      <c r="HW20" s="31"/>
      <c r="HX20" s="31"/>
      <c r="HY20" s="31"/>
      <c r="HZ20" s="31"/>
      <c r="IA20" s="31"/>
      <c r="IB20" s="31"/>
      <c r="IC20" s="31"/>
      <c r="ID20" s="31"/>
      <c r="IE20" s="31"/>
      <c r="IF20" s="31"/>
      <c r="IG20" s="31"/>
      <c r="IH20" s="31"/>
      <c r="II20" s="31"/>
      <c r="IJ20" s="31"/>
      <c r="IK20" s="31"/>
      <c r="IL20" s="31"/>
      <c r="IM20" s="31"/>
      <c r="IN20" s="31"/>
      <c r="IO20" s="31"/>
      <c r="IP20" s="31"/>
      <c r="IQ20" s="31"/>
      <c r="IR20" s="31"/>
      <c r="IS20" s="31"/>
      <c r="IT20" s="31"/>
      <c r="IU20" s="31"/>
      <c r="IV20" s="31"/>
      <c r="IW20" s="31"/>
      <c r="IX20" s="31"/>
      <c r="IY20" s="31"/>
      <c r="IZ20" s="31"/>
      <c r="JA20" s="31"/>
      <c r="JB20" s="31"/>
      <c r="JC20" s="31"/>
      <c r="JD20" s="31"/>
      <c r="JE20" s="31"/>
      <c r="JF20" s="31"/>
      <c r="JG20" s="31"/>
      <c r="JH20" s="31"/>
      <c r="JI20" s="31"/>
      <c r="JJ20" s="31"/>
      <c r="JK20" s="31"/>
      <c r="JL20" s="31"/>
      <c r="JM20" s="31"/>
      <c r="JN20" s="31"/>
      <c r="JO20" s="31"/>
      <c r="JP20" s="31"/>
      <c r="JQ20" s="31"/>
      <c r="JR20" s="31"/>
      <c r="JS20" s="31"/>
      <c r="JT20" s="31"/>
      <c r="JU20" s="31"/>
      <c r="JV20" s="31"/>
      <c r="JW20" s="31"/>
      <c r="JX20" s="31"/>
      <c r="JY20" s="31"/>
      <c r="JZ20" s="31"/>
      <c r="KA20" s="31"/>
      <c r="KB20" s="31"/>
      <c r="KC20" s="31"/>
      <c r="KD20" s="31"/>
      <c r="KE20" s="31"/>
      <c r="KF20" s="31"/>
      <c r="KG20" s="31"/>
      <c r="KH20" s="31"/>
      <c r="KI20" s="31"/>
      <c r="KJ20" s="31"/>
      <c r="KK20" s="31"/>
      <c r="KL20" s="31"/>
      <c r="KM20" s="31"/>
      <c r="KN20" s="31"/>
      <c r="KO20" s="31"/>
      <c r="KP20" s="31"/>
      <c r="KQ20" s="31"/>
      <c r="KR20" s="31"/>
      <c r="KS20" s="31"/>
      <c r="KT20" s="31"/>
      <c r="KU20" s="31"/>
      <c r="KV20" s="31"/>
      <c r="KW20" s="31"/>
      <c r="KX20" s="31"/>
      <c r="KY20" s="31"/>
      <c r="KZ20" s="31"/>
      <c r="LA20" s="31"/>
      <c r="LB20" s="31"/>
      <c r="LC20" s="31"/>
      <c r="LD20" s="31"/>
      <c r="LE20" s="31"/>
      <c r="LF20" s="31"/>
      <c r="LG20" s="31"/>
      <c r="LH20" s="31"/>
      <c r="LI20" s="31"/>
      <c r="LJ20" s="31"/>
      <c r="LK20" s="31"/>
      <c r="LL20" s="31"/>
      <c r="LM20" s="31"/>
      <c r="LN20" s="31"/>
      <c r="LO20" s="31"/>
      <c r="LP20" s="31"/>
      <c r="LQ20" s="31"/>
      <c r="LR20" s="31"/>
      <c r="LS20" s="31"/>
      <c r="LT20" s="31"/>
      <c r="LU20" s="31"/>
      <c r="LV20" s="31"/>
      <c r="LW20" s="31"/>
      <c r="LX20" s="31"/>
      <c r="LY20" s="31"/>
      <c r="LZ20" s="31"/>
      <c r="MA20" s="31"/>
      <c r="MB20" s="31"/>
      <c r="MC20" s="31"/>
      <c r="MD20" s="31"/>
      <c r="ME20" s="31"/>
      <c r="MF20" s="31"/>
    </row>
    <row r="21" spans="1:344" s="3" customFormat="1" ht="30" customHeight="1">
      <c r="A21" s="46" t="s">
        <v>169</v>
      </c>
      <c r="B21" s="260" t="str">
        <f>'OKR '!D37</f>
        <v>Implementar gestão regional de formações</v>
      </c>
      <c r="C21" s="260"/>
      <c r="D21" s="260"/>
      <c r="E21" s="260"/>
      <c r="F21" s="260"/>
      <c r="G21" s="14"/>
      <c r="H21" s="14" t="str">
        <f t="shared" ca="1" si="332"/>
        <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c r="GS21" s="31"/>
      <c r="GT21" s="31"/>
      <c r="GU21" s="31"/>
      <c r="GV21" s="31"/>
      <c r="GW21" s="31"/>
      <c r="GX21" s="31"/>
      <c r="GY21" s="31"/>
      <c r="GZ21" s="31"/>
      <c r="HA21" s="31"/>
      <c r="HB21" s="31"/>
      <c r="HC21" s="31"/>
      <c r="HD21" s="31"/>
      <c r="HE21" s="31"/>
      <c r="HF21" s="31"/>
      <c r="HG21" s="31"/>
      <c r="HH21" s="31"/>
      <c r="HI21" s="31"/>
      <c r="HJ21" s="31"/>
      <c r="HK21" s="31"/>
      <c r="HL21" s="31"/>
      <c r="HM21" s="31"/>
      <c r="HN21" s="31"/>
      <c r="HO21" s="31"/>
      <c r="HP21" s="31"/>
      <c r="HQ21" s="31"/>
      <c r="HR21" s="31"/>
      <c r="HS21" s="31"/>
      <c r="HT21" s="31"/>
      <c r="HU21" s="31"/>
      <c r="HV21" s="31"/>
      <c r="HW21" s="31"/>
      <c r="HX21" s="31"/>
      <c r="HY21" s="31"/>
      <c r="HZ21" s="31"/>
      <c r="IA21" s="31"/>
      <c r="IB21" s="31"/>
      <c r="IC21" s="31"/>
      <c r="ID21" s="31"/>
      <c r="IE21" s="31"/>
      <c r="IF21" s="31"/>
      <c r="IG21" s="31"/>
      <c r="IH21" s="31"/>
      <c r="II21" s="31"/>
      <c r="IJ21" s="31"/>
      <c r="IK21" s="31"/>
      <c r="IL21" s="31"/>
      <c r="IM21" s="31"/>
      <c r="IN21" s="31"/>
      <c r="IO21" s="31"/>
      <c r="IP21" s="31"/>
      <c r="IQ21" s="31"/>
      <c r="IR21" s="31"/>
      <c r="IS21" s="31"/>
      <c r="IT21" s="31"/>
      <c r="IU21" s="31"/>
      <c r="IV21" s="31"/>
      <c r="IW21" s="31"/>
      <c r="IX21" s="31"/>
      <c r="IY21" s="31"/>
      <c r="IZ21" s="31"/>
      <c r="JA21" s="31"/>
      <c r="JB21" s="31"/>
      <c r="JC21" s="31"/>
      <c r="JD21" s="31"/>
      <c r="JE21" s="31"/>
      <c r="JF21" s="31"/>
      <c r="JG21" s="31"/>
      <c r="JH21" s="31"/>
      <c r="JI21" s="31"/>
      <c r="JJ21" s="31"/>
      <c r="JK21" s="31"/>
      <c r="JL21" s="31"/>
      <c r="JM21" s="31"/>
      <c r="JN21" s="31"/>
      <c r="JO21" s="31"/>
      <c r="JP21" s="31"/>
      <c r="JQ21" s="31"/>
      <c r="JR21" s="31"/>
      <c r="JS21" s="31"/>
      <c r="JT21" s="31"/>
      <c r="JU21" s="31"/>
      <c r="JV21" s="31"/>
      <c r="JW21" s="31"/>
      <c r="JX21" s="31"/>
      <c r="JY21" s="31"/>
      <c r="JZ21" s="31"/>
      <c r="KA21" s="31"/>
      <c r="KB21" s="31"/>
      <c r="KC21" s="31"/>
      <c r="KD21" s="31"/>
      <c r="KE21" s="31"/>
      <c r="KF21" s="31"/>
      <c r="KG21" s="31"/>
      <c r="KH21" s="31"/>
      <c r="KI21" s="31"/>
      <c r="KJ21" s="31"/>
      <c r="KK21" s="31"/>
      <c r="KL21" s="31"/>
      <c r="KM21" s="31"/>
      <c r="KN21" s="31"/>
      <c r="KO21" s="31"/>
      <c r="KP21" s="31"/>
      <c r="KQ21" s="31"/>
      <c r="KR21" s="31"/>
      <c r="KS21" s="31"/>
      <c r="KT21" s="31"/>
      <c r="KU21" s="31"/>
      <c r="KV21" s="31"/>
      <c r="KW21" s="31"/>
      <c r="KX21" s="31"/>
      <c r="KY21" s="31"/>
      <c r="KZ21" s="31"/>
      <c r="LA21" s="31"/>
      <c r="LB21" s="31"/>
      <c r="LC21" s="31"/>
      <c r="LD21" s="31"/>
      <c r="LE21" s="31"/>
      <c r="LF21" s="31"/>
      <c r="LG21" s="31"/>
      <c r="LH21" s="31"/>
      <c r="LI21" s="31"/>
      <c r="LJ21" s="31"/>
      <c r="LK21" s="31"/>
      <c r="LL21" s="31"/>
      <c r="LM21" s="31"/>
      <c r="LN21" s="31"/>
      <c r="LO21" s="31"/>
      <c r="LP21" s="31"/>
      <c r="LQ21" s="31"/>
      <c r="LR21" s="31"/>
      <c r="LS21" s="31"/>
      <c r="LT21" s="31"/>
      <c r="LU21" s="31"/>
      <c r="LV21" s="31"/>
      <c r="LW21" s="31"/>
      <c r="LX21" s="31"/>
      <c r="LY21" s="31"/>
      <c r="LZ21" s="31"/>
      <c r="MA21" s="31"/>
      <c r="MB21" s="31"/>
      <c r="MC21" s="31"/>
      <c r="MD21" s="31"/>
      <c r="ME21" s="31"/>
      <c r="MF21" s="31"/>
    </row>
    <row r="22" spans="1:344" s="3" customFormat="1" ht="37.5" customHeight="1">
      <c r="A22" s="46"/>
      <c r="B22" s="180" t="str">
        <f>'OKR '!D40</f>
        <v>Avaliar dados do Valorizagtes-sus</v>
      </c>
      <c r="C22" s="180" t="str">
        <f>'OKR '!E40</f>
        <v>Grupo de Trabalho</v>
      </c>
      <c r="D22" s="181"/>
      <c r="E22" s="182">
        <f>'OKR '!G40</f>
        <v>46055</v>
      </c>
      <c r="F22" s="182">
        <f>'OKR '!H40</f>
        <v>46142</v>
      </c>
      <c r="G22" s="14"/>
      <c r="H22" s="14"/>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c r="GG22" s="31"/>
      <c r="GH22" s="31"/>
      <c r="GI22" s="31"/>
      <c r="GJ22" s="31"/>
      <c r="GK22" s="31"/>
      <c r="GL22" s="31"/>
      <c r="GM22" s="31"/>
      <c r="GN22" s="31"/>
      <c r="GO22" s="31"/>
      <c r="GP22" s="31"/>
      <c r="GQ22" s="31"/>
      <c r="GR22" s="31"/>
      <c r="GS22" s="31"/>
      <c r="GT22" s="31"/>
      <c r="GU22" s="31"/>
      <c r="GV22" s="31"/>
      <c r="GW22" s="31"/>
      <c r="GX22" s="31"/>
      <c r="GY22" s="31"/>
      <c r="GZ22" s="31"/>
      <c r="HA22" s="31"/>
      <c r="HB22" s="31"/>
      <c r="HC22" s="31"/>
      <c r="HD22" s="31"/>
      <c r="HE22" s="31"/>
      <c r="HF22" s="31"/>
      <c r="HG22" s="31"/>
      <c r="HH22" s="31"/>
      <c r="HI22" s="31"/>
      <c r="HJ22" s="31"/>
      <c r="HK22" s="31"/>
      <c r="HL22" s="31"/>
      <c r="HM22" s="31"/>
      <c r="HN22" s="31"/>
      <c r="HO22" s="31"/>
      <c r="HP22" s="31"/>
      <c r="HQ22" s="31"/>
      <c r="HR22" s="31"/>
      <c r="HS22" s="31"/>
      <c r="HT22" s="31"/>
      <c r="HU22" s="31"/>
      <c r="HV22" s="31"/>
      <c r="HW22" s="31"/>
      <c r="HX22" s="31"/>
      <c r="HY22" s="31"/>
      <c r="HZ22" s="31"/>
      <c r="IA22" s="31"/>
      <c r="IB22" s="31"/>
      <c r="IC22" s="31"/>
      <c r="ID22" s="31"/>
      <c r="IE22" s="31"/>
      <c r="IF22" s="31"/>
      <c r="IG22" s="31"/>
      <c r="IH22" s="31"/>
      <c r="II22" s="31"/>
      <c r="IJ22" s="31"/>
      <c r="IK22" s="31"/>
      <c r="IL22" s="31"/>
      <c r="IM22" s="31"/>
      <c r="IN22" s="31"/>
      <c r="IO22" s="31"/>
      <c r="IP22" s="31"/>
      <c r="IQ22" s="31"/>
      <c r="IR22" s="31"/>
      <c r="IS22" s="31"/>
      <c r="IT22" s="31"/>
      <c r="IU22" s="31"/>
      <c r="IV22" s="31"/>
      <c r="IW22" s="31"/>
      <c r="IX22" s="31"/>
      <c r="IY22" s="31"/>
      <c r="IZ22" s="31"/>
      <c r="JA22" s="31"/>
      <c r="JB22" s="31"/>
      <c r="JC22" s="31"/>
      <c r="JD22" s="31"/>
      <c r="JE22" s="31"/>
      <c r="JF22" s="31"/>
      <c r="JG22" s="31"/>
      <c r="JH22" s="31"/>
      <c r="JI22" s="31"/>
      <c r="JJ22" s="31"/>
      <c r="JK22" s="31"/>
      <c r="JL22" s="31"/>
      <c r="JM22" s="31"/>
      <c r="JN22" s="31"/>
      <c r="JO22" s="31"/>
      <c r="JP22" s="31"/>
      <c r="JQ22" s="31"/>
      <c r="JR22" s="31"/>
      <c r="JS22" s="31"/>
      <c r="JT22" s="31"/>
      <c r="JU22" s="31"/>
      <c r="JV22" s="31"/>
      <c r="JW22" s="31"/>
      <c r="JX22" s="31"/>
      <c r="JY22" s="31"/>
      <c r="JZ22" s="31"/>
      <c r="KA22" s="31"/>
      <c r="KB22" s="31"/>
      <c r="KC22" s="31"/>
      <c r="KD22" s="31"/>
      <c r="KE22" s="31"/>
      <c r="KF22" s="31"/>
      <c r="KG22" s="31"/>
      <c r="KH22" s="31"/>
      <c r="KI22" s="31"/>
      <c r="KJ22" s="31"/>
      <c r="KK22" s="31"/>
      <c r="KL22" s="31"/>
      <c r="KM22" s="31"/>
      <c r="KN22" s="31"/>
      <c r="KO22" s="31"/>
      <c r="KP22" s="31"/>
      <c r="KQ22" s="31"/>
      <c r="KR22" s="31"/>
      <c r="KS22" s="31"/>
      <c r="KT22" s="31"/>
      <c r="KU22" s="31"/>
      <c r="KV22" s="31"/>
      <c r="KW22" s="31"/>
      <c r="KX22" s="31"/>
      <c r="KY22" s="31"/>
      <c r="KZ22" s="31"/>
      <c r="LA22" s="31"/>
      <c r="LB22" s="31"/>
      <c r="LC22" s="31"/>
      <c r="LD22" s="31"/>
      <c r="LE22" s="31"/>
      <c r="LF22" s="31"/>
      <c r="LG22" s="31"/>
      <c r="LH22" s="31"/>
      <c r="LI22" s="31"/>
      <c r="LJ22" s="31"/>
      <c r="LK22" s="31"/>
      <c r="LL22" s="31"/>
      <c r="LM22" s="31"/>
      <c r="LN22" s="31"/>
      <c r="LO22" s="31"/>
      <c r="LP22" s="31"/>
      <c r="LQ22" s="31"/>
      <c r="LR22" s="31"/>
      <c r="LS22" s="31"/>
      <c r="LT22" s="31"/>
      <c r="LU22" s="31"/>
      <c r="LV22" s="31"/>
      <c r="LW22" s="31"/>
      <c r="LX22" s="31"/>
      <c r="LY22" s="31"/>
      <c r="LZ22" s="31"/>
      <c r="MA22" s="31"/>
      <c r="MB22" s="31"/>
      <c r="MC22" s="31"/>
      <c r="MD22" s="31"/>
      <c r="ME22" s="31"/>
      <c r="MF22" s="31"/>
    </row>
    <row r="23" spans="1:344" s="3" customFormat="1" ht="37.5" customHeight="1">
      <c r="A23" s="46"/>
      <c r="B23" s="180" t="str">
        <f>'OKR '!D41</f>
        <v>Avaliar diagnóstico de demanda por formações do Valoriza SUS</v>
      </c>
      <c r="C23" s="180" t="str">
        <f>'OKR '!E41</f>
        <v>Grupo de Trabalho</v>
      </c>
      <c r="D23" s="181"/>
      <c r="E23" s="182">
        <f>'OKR '!G41</f>
        <v>46055</v>
      </c>
      <c r="F23" s="182">
        <f>'OKR '!H41</f>
        <v>46142</v>
      </c>
      <c r="G23" s="14"/>
      <c r="H23" s="14">
        <f t="shared" ca="1" si="332"/>
        <v>88</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c r="GG23" s="31"/>
      <c r="GH23" s="31"/>
      <c r="GI23" s="31"/>
      <c r="GJ23" s="31"/>
      <c r="GK23" s="31"/>
      <c r="GL23" s="31"/>
      <c r="GM23" s="31"/>
      <c r="GN23" s="31"/>
      <c r="GO23" s="31"/>
      <c r="GP23" s="31"/>
      <c r="GQ23" s="31"/>
      <c r="GR23" s="31"/>
      <c r="GS23" s="31"/>
      <c r="GT23" s="31"/>
      <c r="GU23" s="31"/>
      <c r="GV23" s="31"/>
      <c r="GW23" s="31"/>
      <c r="GX23" s="31"/>
      <c r="GY23" s="31"/>
      <c r="GZ23" s="31"/>
      <c r="HA23" s="31"/>
      <c r="HB23" s="31"/>
      <c r="HC23" s="31"/>
      <c r="HD23" s="31"/>
      <c r="HE23" s="31"/>
      <c r="HF23" s="31"/>
      <c r="HG23" s="31"/>
      <c r="HH23" s="31"/>
      <c r="HI23" s="31"/>
      <c r="HJ23" s="31"/>
      <c r="HK23" s="31"/>
      <c r="HL23" s="31"/>
      <c r="HM23" s="31"/>
      <c r="HN23" s="31"/>
      <c r="HO23" s="31"/>
      <c r="HP23" s="31"/>
      <c r="HQ23" s="31"/>
      <c r="HR23" s="31"/>
      <c r="HS23" s="31"/>
      <c r="HT23" s="31"/>
      <c r="HU23" s="31"/>
      <c r="HV23" s="31"/>
      <c r="HW23" s="31"/>
      <c r="HX23" s="31"/>
      <c r="HY23" s="31"/>
      <c r="HZ23" s="31"/>
      <c r="IA23" s="31"/>
      <c r="IB23" s="31"/>
      <c r="IC23" s="31"/>
      <c r="ID23" s="31"/>
      <c r="IE23" s="31"/>
      <c r="IF23" s="31"/>
      <c r="IG23" s="31"/>
      <c r="IH23" s="31"/>
      <c r="II23" s="31"/>
      <c r="IJ23" s="31"/>
      <c r="IK23" s="31"/>
      <c r="IL23" s="31"/>
      <c r="IM23" s="31"/>
      <c r="IN23" s="31"/>
      <c r="IO23" s="31"/>
      <c r="IP23" s="31"/>
      <c r="IQ23" s="31"/>
      <c r="IR23" s="31"/>
      <c r="IS23" s="31"/>
      <c r="IT23" s="31"/>
      <c r="IU23" s="31"/>
      <c r="IV23" s="31"/>
      <c r="IW23" s="31"/>
      <c r="IX23" s="31"/>
      <c r="IY23" s="31"/>
      <c r="IZ23" s="31"/>
      <c r="JA23" s="31"/>
      <c r="JB23" s="31"/>
      <c r="JC23" s="31"/>
      <c r="JD23" s="31"/>
      <c r="JE23" s="31"/>
      <c r="JF23" s="31"/>
      <c r="JG23" s="31"/>
      <c r="JH23" s="31"/>
      <c r="JI23" s="31"/>
      <c r="JJ23" s="31"/>
      <c r="JK23" s="31"/>
      <c r="JL23" s="31"/>
      <c r="JM23" s="31"/>
      <c r="JN23" s="31"/>
      <c r="JO23" s="31"/>
      <c r="JP23" s="31"/>
      <c r="JQ23" s="31"/>
      <c r="JR23" s="31"/>
      <c r="JS23" s="31"/>
      <c r="JT23" s="31"/>
      <c r="JU23" s="31"/>
      <c r="JV23" s="31"/>
      <c r="JW23" s="31"/>
      <c r="JX23" s="31"/>
      <c r="JY23" s="31"/>
      <c r="JZ23" s="31"/>
      <c r="KA23" s="31"/>
      <c r="KB23" s="31"/>
      <c r="KC23" s="31"/>
      <c r="KD23" s="31"/>
      <c r="KE23" s="31"/>
      <c r="KF23" s="31"/>
      <c r="KG23" s="31"/>
      <c r="KH23" s="31"/>
      <c r="KI23" s="31"/>
      <c r="KJ23" s="31"/>
      <c r="KK23" s="31"/>
      <c r="KL23" s="31"/>
      <c r="KM23" s="31"/>
      <c r="KN23" s="31"/>
      <c r="KO23" s="31"/>
      <c r="KP23" s="31"/>
      <c r="KQ23" s="31"/>
      <c r="KR23" s="31"/>
      <c r="KS23" s="31"/>
      <c r="KT23" s="31"/>
      <c r="KU23" s="31"/>
      <c r="KV23" s="31"/>
      <c r="KW23" s="31"/>
      <c r="KX23" s="31"/>
      <c r="KY23" s="31"/>
      <c r="KZ23" s="31"/>
      <c r="LA23" s="31"/>
      <c r="LB23" s="31"/>
      <c r="LC23" s="31"/>
      <c r="LD23" s="31"/>
      <c r="LE23" s="31"/>
      <c r="LF23" s="31"/>
      <c r="LG23" s="31"/>
      <c r="LH23" s="31"/>
      <c r="LI23" s="31"/>
      <c r="LJ23" s="31"/>
      <c r="LK23" s="31"/>
      <c r="LL23" s="31"/>
      <c r="LM23" s="31"/>
      <c r="LN23" s="31"/>
      <c r="LO23" s="31"/>
      <c r="LP23" s="31"/>
      <c r="LQ23" s="31"/>
      <c r="LR23" s="31"/>
      <c r="LS23" s="31"/>
      <c r="LT23" s="31"/>
      <c r="LU23" s="31"/>
      <c r="LV23" s="31"/>
      <c r="LW23" s="31"/>
      <c r="LX23" s="31"/>
      <c r="LY23" s="31"/>
      <c r="LZ23" s="31"/>
      <c r="MA23" s="31"/>
      <c r="MB23" s="31"/>
      <c r="MC23" s="31"/>
      <c r="MD23" s="31"/>
      <c r="ME23" s="31"/>
      <c r="MF23" s="31"/>
    </row>
    <row r="24" spans="1:344" s="3" customFormat="1" ht="37.5" customHeight="1">
      <c r="A24" s="45"/>
      <c r="B24" s="180" t="str">
        <f>'OKR '!D42</f>
        <v>Avaliar a inclusão da temática de Saúde Digital no Valoriza SUS</v>
      </c>
      <c r="C24" s="180" t="str">
        <f>'OKR '!E42</f>
        <v>Grupo de Trabalho</v>
      </c>
      <c r="D24" s="181"/>
      <c r="E24" s="182">
        <f>'OKR '!G42</f>
        <v>46055</v>
      </c>
      <c r="F24" s="182">
        <f>'OKR '!H42</f>
        <v>46142</v>
      </c>
      <c r="G24" s="14"/>
      <c r="H24" s="14">
        <f t="shared" ca="1" si="332"/>
        <v>88</v>
      </c>
      <c r="I24" s="31"/>
      <c r="J24" s="31"/>
      <c r="K24" s="31"/>
      <c r="L24" s="31"/>
      <c r="M24" s="31"/>
      <c r="N24" s="31"/>
      <c r="O24" s="31"/>
      <c r="P24" s="31"/>
      <c r="Q24" s="31"/>
      <c r="R24" s="31"/>
      <c r="S24" s="31"/>
      <c r="T24" s="31"/>
      <c r="U24" s="32"/>
      <c r="V24" s="32"/>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c r="GG24" s="31"/>
      <c r="GH24" s="31"/>
      <c r="GI24" s="31"/>
      <c r="GJ24" s="31"/>
      <c r="GK24" s="31"/>
      <c r="GL24" s="31"/>
      <c r="GM24" s="31"/>
      <c r="GN24" s="31"/>
      <c r="GO24" s="31"/>
      <c r="GP24" s="31"/>
      <c r="GQ24" s="31"/>
      <c r="GR24" s="31"/>
      <c r="GS24" s="31"/>
      <c r="GT24" s="31"/>
      <c r="GU24" s="31"/>
      <c r="GV24" s="31"/>
      <c r="GW24" s="31"/>
      <c r="GX24" s="31"/>
      <c r="GY24" s="31"/>
      <c r="GZ24" s="31"/>
      <c r="HA24" s="31"/>
      <c r="HB24" s="31"/>
      <c r="HC24" s="31"/>
      <c r="HD24" s="31"/>
      <c r="HE24" s="31"/>
      <c r="HF24" s="31"/>
      <c r="HG24" s="31"/>
      <c r="HH24" s="31"/>
      <c r="HI24" s="31"/>
      <c r="HJ24" s="31"/>
      <c r="HK24" s="31"/>
      <c r="HL24" s="31"/>
      <c r="HM24" s="31"/>
      <c r="HN24" s="31"/>
      <c r="HO24" s="31"/>
      <c r="HP24" s="31"/>
      <c r="HQ24" s="31"/>
      <c r="HR24" s="31"/>
      <c r="HS24" s="31"/>
      <c r="HT24" s="31"/>
      <c r="HU24" s="31"/>
      <c r="HV24" s="31"/>
      <c r="HW24" s="31"/>
      <c r="HX24" s="31"/>
      <c r="HY24" s="31"/>
      <c r="HZ24" s="31"/>
      <c r="IA24" s="31"/>
      <c r="IB24" s="31"/>
      <c r="IC24" s="31"/>
      <c r="ID24" s="31"/>
      <c r="IE24" s="31"/>
      <c r="IF24" s="31"/>
      <c r="IG24" s="31"/>
      <c r="IH24" s="31"/>
      <c r="II24" s="31"/>
      <c r="IJ24" s="31"/>
      <c r="IK24" s="31"/>
      <c r="IL24" s="31"/>
      <c r="IM24" s="31"/>
      <c r="IN24" s="31"/>
      <c r="IO24" s="31"/>
      <c r="IP24" s="31"/>
      <c r="IQ24" s="31"/>
      <c r="IR24" s="31"/>
      <c r="IS24" s="31"/>
      <c r="IT24" s="31"/>
      <c r="IU24" s="31"/>
      <c r="IV24" s="31"/>
      <c r="IW24" s="31"/>
      <c r="IX24" s="31"/>
      <c r="IY24" s="31"/>
      <c r="IZ24" s="31"/>
      <c r="JA24" s="31"/>
      <c r="JB24" s="31"/>
      <c r="JC24" s="31"/>
      <c r="JD24" s="31"/>
      <c r="JE24" s="31"/>
      <c r="JF24" s="31"/>
      <c r="JG24" s="31"/>
      <c r="JH24" s="31"/>
      <c r="JI24" s="31"/>
      <c r="JJ24" s="31"/>
      <c r="JK24" s="31"/>
      <c r="JL24" s="31"/>
      <c r="JM24" s="31"/>
      <c r="JN24" s="31"/>
      <c r="JO24" s="31"/>
      <c r="JP24" s="31"/>
      <c r="JQ24" s="31"/>
      <c r="JR24" s="31"/>
      <c r="JS24" s="31"/>
      <c r="JT24" s="31"/>
      <c r="JU24" s="31"/>
      <c r="JV24" s="31"/>
      <c r="JW24" s="31"/>
      <c r="JX24" s="31"/>
      <c r="JY24" s="31"/>
      <c r="JZ24" s="31"/>
      <c r="KA24" s="31"/>
      <c r="KB24" s="31"/>
      <c r="KC24" s="31"/>
      <c r="KD24" s="31"/>
      <c r="KE24" s="31"/>
      <c r="KF24" s="31"/>
      <c r="KG24" s="31"/>
      <c r="KH24" s="31"/>
      <c r="KI24" s="31"/>
      <c r="KJ24" s="31"/>
      <c r="KK24" s="31"/>
      <c r="KL24" s="31"/>
      <c r="KM24" s="31"/>
      <c r="KN24" s="31"/>
      <c r="KO24" s="31"/>
      <c r="KP24" s="31"/>
      <c r="KQ24" s="31"/>
      <c r="KR24" s="31"/>
      <c r="KS24" s="31"/>
      <c r="KT24" s="31"/>
      <c r="KU24" s="31"/>
      <c r="KV24" s="31"/>
      <c r="KW24" s="31"/>
      <c r="KX24" s="31"/>
      <c r="KY24" s="31"/>
      <c r="KZ24" s="31"/>
      <c r="LA24" s="31"/>
      <c r="LB24" s="31"/>
      <c r="LC24" s="31"/>
      <c r="LD24" s="31"/>
      <c r="LE24" s="31"/>
      <c r="LF24" s="31"/>
      <c r="LG24" s="31"/>
      <c r="LH24" s="31"/>
      <c r="LI24" s="31"/>
      <c r="LJ24" s="31"/>
      <c r="LK24" s="31"/>
      <c r="LL24" s="31"/>
      <c r="LM24" s="31"/>
      <c r="LN24" s="31"/>
      <c r="LO24" s="31"/>
      <c r="LP24" s="31"/>
      <c r="LQ24" s="31"/>
      <c r="LR24" s="31"/>
      <c r="LS24" s="31"/>
      <c r="LT24" s="31"/>
      <c r="LU24" s="31"/>
      <c r="LV24" s="31"/>
      <c r="LW24" s="31"/>
      <c r="LX24" s="31"/>
      <c r="LY24" s="31"/>
      <c r="LZ24" s="31"/>
      <c r="MA24" s="31"/>
      <c r="MB24" s="31"/>
      <c r="MC24" s="31"/>
      <c r="MD24" s="31"/>
      <c r="ME24" s="31"/>
      <c r="MF24" s="31"/>
    </row>
    <row r="25" spans="1:344" s="3" customFormat="1" ht="37.5" customHeight="1">
      <c r="A25" s="45"/>
      <c r="B25" s="180" t="str">
        <f>'OKR '!D43</f>
        <v>Criar rotina regional de formação</v>
      </c>
      <c r="C25" s="180" t="str">
        <f>'OKR '!E43</f>
        <v>Grupo de Trabalho</v>
      </c>
      <c r="D25" s="181"/>
      <c r="E25" s="182">
        <f>'OKR '!G43</f>
        <v>46054</v>
      </c>
      <c r="F25" s="182">
        <f>'OKR '!H43</f>
        <v>46142</v>
      </c>
      <c r="G25" s="14"/>
      <c r="H25" s="14">
        <f t="shared" ca="1" si="332"/>
        <v>89</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c r="GS25" s="31"/>
      <c r="GT25" s="31"/>
      <c r="GU25" s="31"/>
      <c r="GV25" s="31"/>
      <c r="GW25" s="31"/>
      <c r="GX25" s="31"/>
      <c r="GY25" s="31"/>
      <c r="GZ25" s="31"/>
      <c r="HA25" s="31"/>
      <c r="HB25" s="31"/>
      <c r="HC25" s="31"/>
      <c r="HD25" s="31"/>
      <c r="HE25" s="31"/>
      <c r="HF25" s="31"/>
      <c r="HG25" s="31"/>
      <c r="HH25" s="31"/>
      <c r="HI25" s="31"/>
      <c r="HJ25" s="31"/>
      <c r="HK25" s="31"/>
      <c r="HL25" s="31"/>
      <c r="HM25" s="31"/>
      <c r="HN25" s="31"/>
      <c r="HO25" s="31"/>
      <c r="HP25" s="31"/>
      <c r="HQ25" s="31"/>
      <c r="HR25" s="31"/>
      <c r="HS25" s="31"/>
      <c r="HT25" s="31"/>
      <c r="HU25" s="31"/>
      <c r="HV25" s="31"/>
      <c r="HW25" s="31"/>
      <c r="HX25" s="31"/>
      <c r="HY25" s="31"/>
      <c r="HZ25" s="31"/>
      <c r="IA25" s="31"/>
      <c r="IB25" s="31"/>
      <c r="IC25" s="31"/>
      <c r="ID25" s="31"/>
      <c r="IE25" s="31"/>
      <c r="IF25" s="31"/>
      <c r="IG25" s="31"/>
      <c r="IH25" s="31"/>
      <c r="II25" s="31"/>
      <c r="IJ25" s="31"/>
      <c r="IK25" s="31"/>
      <c r="IL25" s="31"/>
      <c r="IM25" s="31"/>
      <c r="IN25" s="31"/>
      <c r="IO25" s="31"/>
      <c r="IP25" s="31"/>
      <c r="IQ25" s="31"/>
      <c r="IR25" s="31"/>
      <c r="IS25" s="31"/>
      <c r="IT25" s="31"/>
      <c r="IU25" s="31"/>
      <c r="IV25" s="31"/>
      <c r="IW25" s="31"/>
      <c r="IX25" s="31"/>
      <c r="IY25" s="31"/>
      <c r="IZ25" s="31"/>
      <c r="JA25" s="31"/>
      <c r="JB25" s="31"/>
      <c r="JC25" s="31"/>
      <c r="JD25" s="31"/>
      <c r="JE25" s="31"/>
      <c r="JF25" s="31"/>
      <c r="JG25" s="31"/>
      <c r="JH25" s="31"/>
      <c r="JI25" s="31"/>
      <c r="JJ25" s="31"/>
      <c r="JK25" s="31"/>
      <c r="JL25" s="31"/>
      <c r="JM25" s="31"/>
      <c r="JN25" s="31"/>
      <c r="JO25" s="31"/>
      <c r="JP25" s="31"/>
      <c r="JQ25" s="31"/>
      <c r="JR25" s="31"/>
      <c r="JS25" s="31"/>
      <c r="JT25" s="31"/>
      <c r="JU25" s="31"/>
      <c r="JV25" s="31"/>
      <c r="JW25" s="31"/>
      <c r="JX25" s="31"/>
      <c r="JY25" s="31"/>
      <c r="JZ25" s="31"/>
      <c r="KA25" s="31"/>
      <c r="KB25" s="31"/>
      <c r="KC25" s="31"/>
      <c r="KD25" s="31"/>
      <c r="KE25" s="31"/>
      <c r="KF25" s="31"/>
      <c r="KG25" s="31"/>
      <c r="KH25" s="31"/>
      <c r="KI25" s="31"/>
      <c r="KJ25" s="31"/>
      <c r="KK25" s="31"/>
      <c r="KL25" s="31"/>
      <c r="KM25" s="31"/>
      <c r="KN25" s="31"/>
      <c r="KO25" s="31"/>
      <c r="KP25" s="31"/>
      <c r="KQ25" s="31"/>
      <c r="KR25" s="31"/>
      <c r="KS25" s="31"/>
      <c r="KT25" s="31"/>
      <c r="KU25" s="31"/>
      <c r="KV25" s="31"/>
      <c r="KW25" s="31"/>
      <c r="KX25" s="31"/>
      <c r="KY25" s="31"/>
      <c r="KZ25" s="31"/>
      <c r="LA25" s="31"/>
      <c r="LB25" s="31"/>
      <c r="LC25" s="31"/>
      <c r="LD25" s="31"/>
      <c r="LE25" s="31"/>
      <c r="LF25" s="31"/>
      <c r="LG25" s="31"/>
      <c r="LH25" s="31"/>
      <c r="LI25" s="31"/>
      <c r="LJ25" s="31"/>
      <c r="LK25" s="31"/>
      <c r="LL25" s="31"/>
      <c r="LM25" s="31"/>
      <c r="LN25" s="31"/>
      <c r="LO25" s="31"/>
      <c r="LP25" s="31"/>
      <c r="LQ25" s="31"/>
      <c r="LR25" s="31"/>
      <c r="LS25" s="31"/>
      <c r="LT25" s="31"/>
      <c r="LU25" s="31"/>
      <c r="LV25" s="31"/>
      <c r="LW25" s="31"/>
      <c r="LX25" s="31"/>
      <c r="LY25" s="31"/>
      <c r="LZ25" s="31"/>
      <c r="MA25" s="31"/>
      <c r="MB25" s="31"/>
      <c r="MC25" s="31"/>
      <c r="MD25" s="31"/>
      <c r="ME25" s="31"/>
      <c r="MF25" s="31"/>
    </row>
    <row r="26" spans="1:344" s="3" customFormat="1" ht="37.5" customHeight="1">
      <c r="A26" s="45"/>
      <c r="B26" s="180" t="str">
        <f>'OKR '!D44</f>
        <v>Identificar necessidades locais e planejar ações.</v>
      </c>
      <c r="C26" s="180" t="str">
        <f>'OKR '!E44</f>
        <v>Grupo de Trabalho</v>
      </c>
      <c r="D26" s="181"/>
      <c r="E26" s="182">
        <f>'OKR '!G44</f>
        <v>46113</v>
      </c>
      <c r="F26" s="182">
        <f>'OKR '!H44</f>
        <v>46173</v>
      </c>
      <c r="G26" s="14"/>
      <c r="H26" s="14">
        <f t="shared" ca="1" si="332"/>
        <v>61</v>
      </c>
      <c r="I26" s="31"/>
      <c r="J26" s="31"/>
      <c r="K26" s="31"/>
      <c r="L26" s="31"/>
      <c r="M26" s="31"/>
      <c r="N26" s="31"/>
      <c r="O26" s="31"/>
      <c r="P26" s="31"/>
      <c r="Q26" s="31"/>
      <c r="R26" s="31"/>
      <c r="S26" s="31"/>
      <c r="T26" s="31"/>
      <c r="U26" s="31"/>
      <c r="V26" s="31"/>
      <c r="W26" s="31"/>
      <c r="X26" s="31"/>
      <c r="Y26" s="32"/>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c r="GG26" s="31"/>
      <c r="GH26" s="31"/>
      <c r="GI26" s="31"/>
      <c r="GJ26" s="31"/>
      <c r="GK26" s="31"/>
      <c r="GL26" s="31"/>
      <c r="GM26" s="31"/>
      <c r="GN26" s="31"/>
      <c r="GO26" s="31"/>
      <c r="GP26" s="31"/>
      <c r="GQ26" s="31"/>
      <c r="GR26" s="31"/>
      <c r="GS26" s="31"/>
      <c r="GT26" s="31"/>
      <c r="GU26" s="31"/>
      <c r="GV26" s="31"/>
      <c r="GW26" s="31"/>
      <c r="GX26" s="31"/>
      <c r="GY26" s="31"/>
      <c r="GZ26" s="31"/>
      <c r="HA26" s="31"/>
      <c r="HB26" s="31"/>
      <c r="HC26" s="31"/>
      <c r="HD26" s="31"/>
      <c r="HE26" s="31"/>
      <c r="HF26" s="31"/>
      <c r="HG26" s="31"/>
      <c r="HH26" s="31"/>
      <c r="HI26" s="31"/>
      <c r="HJ26" s="31"/>
      <c r="HK26" s="31"/>
      <c r="HL26" s="31"/>
      <c r="HM26" s="31"/>
      <c r="HN26" s="31"/>
      <c r="HO26" s="31"/>
      <c r="HP26" s="31"/>
      <c r="HQ26" s="31"/>
      <c r="HR26" s="31"/>
      <c r="HS26" s="31"/>
      <c r="HT26" s="31"/>
      <c r="HU26" s="31"/>
      <c r="HV26" s="31"/>
      <c r="HW26" s="31"/>
      <c r="HX26" s="31"/>
      <c r="HY26" s="31"/>
      <c r="HZ26" s="31"/>
      <c r="IA26" s="31"/>
      <c r="IB26" s="31"/>
      <c r="IC26" s="31"/>
      <c r="ID26" s="31"/>
      <c r="IE26" s="31"/>
      <c r="IF26" s="31"/>
      <c r="IG26" s="31"/>
      <c r="IH26" s="31"/>
      <c r="II26" s="31"/>
      <c r="IJ26" s="31"/>
      <c r="IK26" s="31"/>
      <c r="IL26" s="31"/>
      <c r="IM26" s="31"/>
      <c r="IN26" s="31"/>
      <c r="IO26" s="31"/>
      <c r="IP26" s="31"/>
      <c r="IQ26" s="31"/>
      <c r="IR26" s="31"/>
      <c r="IS26" s="31"/>
      <c r="IT26" s="31"/>
      <c r="IU26" s="31"/>
      <c r="IV26" s="31"/>
      <c r="IW26" s="31"/>
      <c r="IX26" s="31"/>
      <c r="IY26" s="31"/>
      <c r="IZ26" s="31"/>
      <c r="JA26" s="31"/>
      <c r="JB26" s="31"/>
      <c r="JC26" s="31"/>
      <c r="JD26" s="31"/>
      <c r="JE26" s="31"/>
      <c r="JF26" s="31"/>
      <c r="JG26" s="31"/>
      <c r="JH26" s="31"/>
      <c r="JI26" s="31"/>
      <c r="JJ26" s="31"/>
      <c r="JK26" s="31"/>
      <c r="JL26" s="31"/>
      <c r="JM26" s="31"/>
      <c r="JN26" s="31"/>
      <c r="JO26" s="31"/>
      <c r="JP26" s="31"/>
      <c r="JQ26" s="31"/>
      <c r="JR26" s="31"/>
      <c r="JS26" s="31"/>
      <c r="JT26" s="31"/>
      <c r="JU26" s="31"/>
      <c r="JV26" s="31"/>
      <c r="JW26" s="31"/>
      <c r="JX26" s="31"/>
      <c r="JY26" s="31"/>
      <c r="JZ26" s="31"/>
      <c r="KA26" s="31"/>
      <c r="KB26" s="31"/>
      <c r="KC26" s="31"/>
      <c r="KD26" s="31"/>
      <c r="KE26" s="31"/>
      <c r="KF26" s="31"/>
      <c r="KG26" s="31"/>
      <c r="KH26" s="31"/>
      <c r="KI26" s="31"/>
      <c r="KJ26" s="31"/>
      <c r="KK26" s="31"/>
      <c r="KL26" s="31"/>
      <c r="KM26" s="31"/>
      <c r="KN26" s="31"/>
      <c r="KO26" s="31"/>
      <c r="KP26" s="31"/>
      <c r="KQ26" s="31"/>
      <c r="KR26" s="31"/>
      <c r="KS26" s="31"/>
      <c r="KT26" s="31"/>
      <c r="KU26" s="31"/>
      <c r="KV26" s="31"/>
      <c r="KW26" s="31"/>
      <c r="KX26" s="31"/>
      <c r="KY26" s="31"/>
      <c r="KZ26" s="31"/>
      <c r="LA26" s="31"/>
      <c r="LB26" s="31"/>
      <c r="LC26" s="31"/>
      <c r="LD26" s="31"/>
      <c r="LE26" s="31"/>
      <c r="LF26" s="31"/>
      <c r="LG26" s="31"/>
      <c r="LH26" s="31"/>
      <c r="LI26" s="31"/>
      <c r="LJ26" s="31"/>
      <c r="LK26" s="31"/>
      <c r="LL26" s="31"/>
      <c r="LM26" s="31"/>
      <c r="LN26" s="31"/>
      <c r="LO26" s="31"/>
      <c r="LP26" s="31"/>
      <c r="LQ26" s="31"/>
      <c r="LR26" s="31"/>
      <c r="LS26" s="31"/>
      <c r="LT26" s="31"/>
      <c r="LU26" s="31"/>
      <c r="LV26" s="31"/>
      <c r="LW26" s="31"/>
      <c r="LX26" s="31"/>
      <c r="LY26" s="31"/>
      <c r="LZ26" s="31"/>
      <c r="MA26" s="31"/>
      <c r="MB26" s="31"/>
      <c r="MC26" s="31"/>
      <c r="MD26" s="31"/>
      <c r="ME26" s="31"/>
      <c r="MF26" s="31"/>
    </row>
    <row r="27" spans="1:344" s="3" customFormat="1" ht="37.5" customHeight="1">
      <c r="A27" s="45"/>
      <c r="B27" s="180" t="str">
        <f>'OKR '!D45</f>
        <v>Desenvolver protocolos e indicadores.</v>
      </c>
      <c r="C27" s="180" t="str">
        <f>'OKR '!E45</f>
        <v>Grupo de Trabalho</v>
      </c>
      <c r="D27" s="181"/>
      <c r="E27" s="182">
        <f>'OKR '!G45</f>
        <v>46113</v>
      </c>
      <c r="F27" s="182">
        <f>'OKR '!H45</f>
        <v>46173</v>
      </c>
      <c r="G27" s="14"/>
      <c r="H27" s="14"/>
      <c r="I27" s="31"/>
      <c r="J27" s="31"/>
      <c r="K27" s="31"/>
      <c r="L27" s="31"/>
      <c r="M27" s="31"/>
      <c r="N27" s="31"/>
      <c r="O27" s="31"/>
      <c r="P27" s="31"/>
      <c r="Q27" s="31"/>
      <c r="R27" s="31"/>
      <c r="S27" s="31"/>
      <c r="T27" s="31"/>
      <c r="U27" s="31"/>
      <c r="V27" s="31"/>
      <c r="W27" s="31"/>
      <c r="X27" s="31"/>
      <c r="Y27" s="32"/>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c r="HD27" s="31"/>
      <c r="HE27" s="31"/>
      <c r="HF27" s="31"/>
      <c r="HG27" s="31"/>
      <c r="HH27" s="31"/>
      <c r="HI27" s="31"/>
      <c r="HJ27" s="31"/>
      <c r="HK27" s="31"/>
      <c r="HL27" s="31"/>
      <c r="HM27" s="31"/>
      <c r="HN27" s="31"/>
      <c r="HO27" s="31"/>
      <c r="HP27" s="31"/>
      <c r="HQ27" s="31"/>
      <c r="HR27" s="31"/>
      <c r="HS27" s="31"/>
      <c r="HT27" s="31"/>
      <c r="HU27" s="31"/>
      <c r="HV27" s="31"/>
      <c r="HW27" s="31"/>
      <c r="HX27" s="31"/>
      <c r="HY27" s="31"/>
      <c r="HZ27" s="31"/>
      <c r="IA27" s="31"/>
      <c r="IB27" s="31"/>
      <c r="IC27" s="31"/>
      <c r="ID27" s="31"/>
      <c r="IE27" s="31"/>
      <c r="IF27" s="31"/>
      <c r="IG27" s="31"/>
      <c r="IH27" s="31"/>
      <c r="II27" s="31"/>
      <c r="IJ27" s="31"/>
      <c r="IK27" s="31"/>
      <c r="IL27" s="31"/>
      <c r="IM27" s="31"/>
      <c r="IN27" s="31"/>
      <c r="IO27" s="31"/>
      <c r="IP27" s="31"/>
      <c r="IQ27" s="31"/>
      <c r="IR27" s="31"/>
      <c r="IS27" s="31"/>
      <c r="IT27" s="31"/>
      <c r="IU27" s="31"/>
      <c r="IV27" s="31"/>
      <c r="IW27" s="31"/>
      <c r="IX27" s="31"/>
      <c r="IY27" s="31"/>
      <c r="IZ27" s="31"/>
      <c r="JA27" s="31"/>
      <c r="JB27" s="31"/>
      <c r="JC27" s="31"/>
      <c r="JD27" s="31"/>
      <c r="JE27" s="31"/>
      <c r="JF27" s="31"/>
      <c r="JG27" s="31"/>
      <c r="JH27" s="31"/>
      <c r="JI27" s="31"/>
      <c r="JJ27" s="31"/>
      <c r="JK27" s="31"/>
      <c r="JL27" s="31"/>
      <c r="JM27" s="31"/>
      <c r="JN27" s="31"/>
      <c r="JO27" s="31"/>
      <c r="JP27" s="31"/>
      <c r="JQ27" s="31"/>
      <c r="JR27" s="31"/>
      <c r="JS27" s="31"/>
      <c r="JT27" s="31"/>
      <c r="JU27" s="31"/>
      <c r="JV27" s="31"/>
      <c r="JW27" s="31"/>
      <c r="JX27" s="31"/>
      <c r="JY27" s="31"/>
      <c r="JZ27" s="31"/>
      <c r="KA27" s="31"/>
      <c r="KB27" s="31"/>
      <c r="KC27" s="31"/>
      <c r="KD27" s="31"/>
      <c r="KE27" s="31"/>
      <c r="KF27" s="31"/>
      <c r="KG27" s="31"/>
      <c r="KH27" s="31"/>
      <c r="KI27" s="31"/>
      <c r="KJ27" s="31"/>
      <c r="KK27" s="31"/>
      <c r="KL27" s="31"/>
      <c r="KM27" s="31"/>
      <c r="KN27" s="31"/>
      <c r="KO27" s="31"/>
      <c r="KP27" s="31"/>
      <c r="KQ27" s="31"/>
      <c r="KR27" s="31"/>
      <c r="KS27" s="31"/>
      <c r="KT27" s="31"/>
      <c r="KU27" s="31"/>
      <c r="KV27" s="31"/>
      <c r="KW27" s="31"/>
      <c r="KX27" s="31"/>
      <c r="KY27" s="31"/>
      <c r="KZ27" s="31"/>
      <c r="LA27" s="31"/>
      <c r="LB27" s="31"/>
      <c r="LC27" s="31"/>
      <c r="LD27" s="31"/>
      <c r="LE27" s="31"/>
      <c r="LF27" s="31"/>
      <c r="LG27" s="31"/>
      <c r="LH27" s="31"/>
      <c r="LI27" s="31"/>
      <c r="LJ27" s="31"/>
      <c r="LK27" s="31"/>
      <c r="LL27" s="31"/>
      <c r="LM27" s="31"/>
      <c r="LN27" s="31"/>
      <c r="LO27" s="31"/>
      <c r="LP27" s="31"/>
      <c r="LQ27" s="31"/>
      <c r="LR27" s="31"/>
      <c r="LS27" s="31"/>
      <c r="LT27" s="31"/>
      <c r="LU27" s="31"/>
      <c r="LV27" s="31"/>
      <c r="LW27" s="31"/>
      <c r="LX27" s="31"/>
      <c r="LY27" s="31"/>
      <c r="LZ27" s="31"/>
      <c r="MA27" s="31"/>
      <c r="MB27" s="31"/>
      <c r="MC27" s="31"/>
      <c r="MD27" s="31"/>
      <c r="ME27" s="31"/>
      <c r="MF27" s="31"/>
    </row>
    <row r="28" spans="1:344" s="3" customFormat="1" ht="37.5" customHeight="1">
      <c r="A28" s="45"/>
      <c r="B28" s="180" t="str">
        <f>'OKR '!D46</f>
        <v>Elaborar modelo  avaliação das formações</v>
      </c>
      <c r="C28" s="180" t="str">
        <f>'OKR '!E46</f>
        <v>Grupo de Trabalho</v>
      </c>
      <c r="D28" s="181"/>
      <c r="E28" s="182">
        <f>'OKR '!G46</f>
        <v>46113</v>
      </c>
      <c r="F28" s="182">
        <f>'OKR '!H46</f>
        <v>46173</v>
      </c>
      <c r="G28" s="14"/>
      <c r="H28" s="14"/>
      <c r="I28" s="31"/>
      <c r="J28" s="31"/>
      <c r="K28" s="31"/>
      <c r="L28" s="31"/>
      <c r="M28" s="31"/>
      <c r="N28" s="31"/>
      <c r="O28" s="31"/>
      <c r="P28" s="31"/>
      <c r="Q28" s="31"/>
      <c r="R28" s="31"/>
      <c r="S28" s="31"/>
      <c r="T28" s="31"/>
      <c r="U28" s="31"/>
      <c r="V28" s="31"/>
      <c r="W28" s="31"/>
      <c r="X28" s="31"/>
      <c r="Y28" s="32"/>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c r="GG28" s="31"/>
      <c r="GH28" s="31"/>
      <c r="GI28" s="31"/>
      <c r="GJ28" s="31"/>
      <c r="GK28" s="31"/>
      <c r="GL28" s="31"/>
      <c r="GM28" s="31"/>
      <c r="GN28" s="31"/>
      <c r="GO28" s="31"/>
      <c r="GP28" s="31"/>
      <c r="GQ28" s="31"/>
      <c r="GR28" s="31"/>
      <c r="GS28" s="31"/>
      <c r="GT28" s="31"/>
      <c r="GU28" s="31"/>
      <c r="GV28" s="31"/>
      <c r="GW28" s="31"/>
      <c r="GX28" s="31"/>
      <c r="GY28" s="31"/>
      <c r="GZ28" s="31"/>
      <c r="HA28" s="31"/>
      <c r="HB28" s="31"/>
      <c r="HC28" s="31"/>
      <c r="HD28" s="31"/>
      <c r="HE28" s="31"/>
      <c r="HF28" s="31"/>
      <c r="HG28" s="31"/>
      <c r="HH28" s="31"/>
      <c r="HI28" s="31"/>
      <c r="HJ28" s="31"/>
      <c r="HK28" s="31"/>
      <c r="HL28" s="31"/>
      <c r="HM28" s="31"/>
      <c r="HN28" s="31"/>
      <c r="HO28" s="31"/>
      <c r="HP28" s="31"/>
      <c r="HQ28" s="31"/>
      <c r="HR28" s="31"/>
      <c r="HS28" s="31"/>
      <c r="HT28" s="31"/>
      <c r="HU28" s="31"/>
      <c r="HV28" s="31"/>
      <c r="HW28" s="31"/>
      <c r="HX28" s="31"/>
      <c r="HY28" s="31"/>
      <c r="HZ28" s="31"/>
      <c r="IA28" s="31"/>
      <c r="IB28" s="31"/>
      <c r="IC28" s="31"/>
      <c r="ID28" s="31"/>
      <c r="IE28" s="31"/>
      <c r="IF28" s="31"/>
      <c r="IG28" s="31"/>
      <c r="IH28" s="31"/>
      <c r="II28" s="31"/>
      <c r="IJ28" s="31"/>
      <c r="IK28" s="31"/>
      <c r="IL28" s="31"/>
      <c r="IM28" s="31"/>
      <c r="IN28" s="31"/>
      <c r="IO28" s="31"/>
      <c r="IP28" s="31"/>
      <c r="IQ28" s="31"/>
      <c r="IR28" s="31"/>
      <c r="IS28" s="31"/>
      <c r="IT28" s="31"/>
      <c r="IU28" s="31"/>
      <c r="IV28" s="31"/>
      <c r="IW28" s="31"/>
      <c r="IX28" s="31"/>
      <c r="IY28" s="31"/>
      <c r="IZ28" s="31"/>
      <c r="JA28" s="31"/>
      <c r="JB28" s="31"/>
      <c r="JC28" s="31"/>
      <c r="JD28" s="31"/>
      <c r="JE28" s="31"/>
      <c r="JF28" s="31"/>
      <c r="JG28" s="31"/>
      <c r="JH28" s="31"/>
      <c r="JI28" s="31"/>
      <c r="JJ28" s="31"/>
      <c r="JK28" s="31"/>
      <c r="JL28" s="31"/>
      <c r="JM28" s="31"/>
      <c r="JN28" s="31"/>
      <c r="JO28" s="31"/>
      <c r="JP28" s="31"/>
      <c r="JQ28" s="31"/>
      <c r="JR28" s="31"/>
      <c r="JS28" s="31"/>
      <c r="JT28" s="31"/>
      <c r="JU28" s="31"/>
      <c r="JV28" s="31"/>
      <c r="JW28" s="31"/>
      <c r="JX28" s="31"/>
      <c r="JY28" s="31"/>
      <c r="JZ28" s="31"/>
      <c r="KA28" s="31"/>
      <c r="KB28" s="31"/>
      <c r="KC28" s="31"/>
      <c r="KD28" s="31"/>
      <c r="KE28" s="31"/>
      <c r="KF28" s="31"/>
      <c r="KG28" s="31"/>
      <c r="KH28" s="31"/>
      <c r="KI28" s="31"/>
      <c r="KJ28" s="31"/>
      <c r="KK28" s="31"/>
      <c r="KL28" s="31"/>
      <c r="KM28" s="31"/>
      <c r="KN28" s="31"/>
      <c r="KO28" s="31"/>
      <c r="KP28" s="31"/>
      <c r="KQ28" s="31"/>
      <c r="KR28" s="31"/>
      <c r="KS28" s="31"/>
      <c r="KT28" s="31"/>
      <c r="KU28" s="31"/>
      <c r="KV28" s="31"/>
      <c r="KW28" s="31"/>
      <c r="KX28" s="31"/>
      <c r="KY28" s="31"/>
      <c r="KZ28" s="31"/>
      <c r="LA28" s="31"/>
      <c r="LB28" s="31"/>
      <c r="LC28" s="31"/>
      <c r="LD28" s="31"/>
      <c r="LE28" s="31"/>
      <c r="LF28" s="31"/>
      <c r="LG28" s="31"/>
      <c r="LH28" s="31"/>
      <c r="LI28" s="31"/>
      <c r="LJ28" s="31"/>
      <c r="LK28" s="31"/>
      <c r="LL28" s="31"/>
      <c r="LM28" s="31"/>
      <c r="LN28" s="31"/>
      <c r="LO28" s="31"/>
      <c r="LP28" s="31"/>
      <c r="LQ28" s="31"/>
      <c r="LR28" s="31"/>
      <c r="LS28" s="31"/>
      <c r="LT28" s="31"/>
      <c r="LU28" s="31"/>
      <c r="LV28" s="31"/>
      <c r="LW28" s="31"/>
      <c r="LX28" s="31"/>
      <c r="LY28" s="31"/>
      <c r="LZ28" s="31"/>
      <c r="MA28" s="31"/>
      <c r="MB28" s="31"/>
      <c r="MC28" s="31"/>
      <c r="MD28" s="31"/>
      <c r="ME28" s="31"/>
      <c r="MF28" s="31"/>
    </row>
    <row r="29" spans="1:344" s="3" customFormat="1" ht="37.5" customHeight="1">
      <c r="A29" s="45"/>
      <c r="B29" s="180" t="str">
        <f>'OKR '!D47</f>
        <v>Definir portfólio de cursos (fixos e sazionais)</v>
      </c>
      <c r="C29" s="180" t="str">
        <f>'OKR '!E47</f>
        <v>Grupo de Trabalho</v>
      </c>
      <c r="D29" s="181"/>
      <c r="E29" s="182">
        <f>'OKR '!G47</f>
        <v>46113</v>
      </c>
      <c r="F29" s="182">
        <f>'OKR '!H47</f>
        <v>46203</v>
      </c>
      <c r="G29" s="14"/>
      <c r="H29" s="14"/>
      <c r="I29" s="31"/>
      <c r="J29" s="31"/>
      <c r="K29" s="31"/>
      <c r="L29" s="31"/>
      <c r="M29" s="31"/>
      <c r="N29" s="31"/>
      <c r="O29" s="31"/>
      <c r="P29" s="31"/>
      <c r="Q29" s="31"/>
      <c r="R29" s="31"/>
      <c r="S29" s="31"/>
      <c r="T29" s="31"/>
      <c r="U29" s="31"/>
      <c r="V29" s="31"/>
      <c r="W29" s="31"/>
      <c r="X29" s="31"/>
      <c r="Y29" s="32"/>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c r="HD29" s="31"/>
      <c r="HE29" s="31"/>
      <c r="HF29" s="31"/>
      <c r="HG29" s="31"/>
      <c r="HH29" s="31"/>
      <c r="HI29" s="31"/>
      <c r="HJ29" s="31"/>
      <c r="HK29" s="31"/>
      <c r="HL29" s="31"/>
      <c r="HM29" s="31"/>
      <c r="HN29" s="31"/>
      <c r="HO29" s="31"/>
      <c r="HP29" s="31"/>
      <c r="HQ29" s="31"/>
      <c r="HR29" s="31"/>
      <c r="HS29" s="31"/>
      <c r="HT29" s="31"/>
      <c r="HU29" s="31"/>
      <c r="HV29" s="31"/>
      <c r="HW29" s="31"/>
      <c r="HX29" s="31"/>
      <c r="HY29" s="31"/>
      <c r="HZ29" s="31"/>
      <c r="IA29" s="31"/>
      <c r="IB29" s="31"/>
      <c r="IC29" s="31"/>
      <c r="ID29" s="31"/>
      <c r="IE29" s="31"/>
      <c r="IF29" s="31"/>
      <c r="IG29" s="31"/>
      <c r="IH29" s="31"/>
      <c r="II29" s="31"/>
      <c r="IJ29" s="31"/>
      <c r="IK29" s="31"/>
      <c r="IL29" s="31"/>
      <c r="IM29" s="31"/>
      <c r="IN29" s="31"/>
      <c r="IO29" s="31"/>
      <c r="IP29" s="31"/>
      <c r="IQ29" s="31"/>
      <c r="IR29" s="31"/>
      <c r="IS29" s="31"/>
      <c r="IT29" s="31"/>
      <c r="IU29" s="31"/>
      <c r="IV29" s="31"/>
      <c r="IW29" s="31"/>
      <c r="IX29" s="31"/>
      <c r="IY29" s="31"/>
      <c r="IZ29" s="31"/>
      <c r="JA29" s="31"/>
      <c r="JB29" s="31"/>
      <c r="JC29" s="31"/>
      <c r="JD29" s="31"/>
      <c r="JE29" s="31"/>
      <c r="JF29" s="31"/>
      <c r="JG29" s="31"/>
      <c r="JH29" s="31"/>
      <c r="JI29" s="31"/>
      <c r="JJ29" s="31"/>
      <c r="JK29" s="31"/>
      <c r="JL29" s="31"/>
      <c r="JM29" s="31"/>
      <c r="JN29" s="31"/>
      <c r="JO29" s="31"/>
      <c r="JP29" s="31"/>
      <c r="JQ29" s="31"/>
      <c r="JR29" s="31"/>
      <c r="JS29" s="31"/>
      <c r="JT29" s="31"/>
      <c r="JU29" s="31"/>
      <c r="JV29" s="31"/>
      <c r="JW29" s="31"/>
      <c r="JX29" s="31"/>
      <c r="JY29" s="31"/>
      <c r="JZ29" s="31"/>
      <c r="KA29" s="31"/>
      <c r="KB29" s="31"/>
      <c r="KC29" s="31"/>
      <c r="KD29" s="31"/>
      <c r="KE29" s="31"/>
      <c r="KF29" s="31"/>
      <c r="KG29" s="31"/>
      <c r="KH29" s="31"/>
      <c r="KI29" s="31"/>
      <c r="KJ29" s="31"/>
      <c r="KK29" s="31"/>
      <c r="KL29" s="31"/>
      <c r="KM29" s="31"/>
      <c r="KN29" s="31"/>
      <c r="KO29" s="31"/>
      <c r="KP29" s="31"/>
      <c r="KQ29" s="31"/>
      <c r="KR29" s="31"/>
      <c r="KS29" s="31"/>
      <c r="KT29" s="31"/>
      <c r="KU29" s="31"/>
      <c r="KV29" s="31"/>
      <c r="KW29" s="31"/>
      <c r="KX29" s="31"/>
      <c r="KY29" s="31"/>
      <c r="KZ29" s="31"/>
      <c r="LA29" s="31"/>
      <c r="LB29" s="31"/>
      <c r="LC29" s="31"/>
      <c r="LD29" s="31"/>
      <c r="LE29" s="31"/>
      <c r="LF29" s="31"/>
      <c r="LG29" s="31"/>
      <c r="LH29" s="31"/>
      <c r="LI29" s="31"/>
      <c r="LJ29" s="31"/>
      <c r="LK29" s="31"/>
      <c r="LL29" s="31"/>
      <c r="LM29" s="31"/>
      <c r="LN29" s="31"/>
      <c r="LO29" s="31"/>
      <c r="LP29" s="31"/>
      <c r="LQ29" s="31"/>
      <c r="LR29" s="31"/>
      <c r="LS29" s="31"/>
      <c r="LT29" s="31"/>
      <c r="LU29" s="31"/>
      <c r="LV29" s="31"/>
      <c r="LW29" s="31"/>
      <c r="LX29" s="31"/>
      <c r="LY29" s="31"/>
      <c r="LZ29" s="31"/>
      <c r="MA29" s="31"/>
      <c r="MB29" s="31"/>
      <c r="MC29" s="31"/>
      <c r="MD29" s="31"/>
      <c r="ME29" s="31"/>
      <c r="MF29" s="31"/>
    </row>
    <row r="30" spans="1:344" s="3" customFormat="1" ht="37.5" customHeight="1">
      <c r="A30" s="45"/>
      <c r="B30" s="180" t="str">
        <f>'OKR '!D48</f>
        <v>Solicitar treinamentos conforme necessidades.</v>
      </c>
      <c r="C30" s="180" t="str">
        <f>'OKR '!E48</f>
        <v>Grupo de Trabalho</v>
      </c>
      <c r="D30" s="181"/>
      <c r="E30" s="182">
        <f>'OKR '!G48</f>
        <v>46113</v>
      </c>
      <c r="F30" s="182">
        <f>'OKR '!H48</f>
        <v>46387</v>
      </c>
      <c r="G30" s="14"/>
      <c r="H30" s="14">
        <f t="shared" ca="1" si="332"/>
        <v>275</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c r="GG30" s="31"/>
      <c r="GH30" s="31"/>
      <c r="GI30" s="31"/>
      <c r="GJ30" s="31"/>
      <c r="GK30" s="31"/>
      <c r="GL30" s="31"/>
      <c r="GM30" s="31"/>
      <c r="GN30" s="31"/>
      <c r="GO30" s="31"/>
      <c r="GP30" s="31"/>
      <c r="GQ30" s="31"/>
      <c r="GR30" s="31"/>
      <c r="GS30" s="31"/>
      <c r="GT30" s="31"/>
      <c r="GU30" s="31"/>
      <c r="GV30" s="31"/>
      <c r="GW30" s="31"/>
      <c r="GX30" s="31"/>
      <c r="GY30" s="31"/>
      <c r="GZ30" s="31"/>
      <c r="HA30" s="31"/>
      <c r="HB30" s="31"/>
      <c r="HC30" s="31"/>
      <c r="HD30" s="31"/>
      <c r="HE30" s="31"/>
      <c r="HF30" s="31"/>
      <c r="HG30" s="31"/>
      <c r="HH30" s="31"/>
      <c r="HI30" s="31"/>
      <c r="HJ30" s="31"/>
      <c r="HK30" s="31"/>
      <c r="HL30" s="31"/>
      <c r="HM30" s="31"/>
      <c r="HN30" s="31"/>
      <c r="HO30" s="31"/>
      <c r="HP30" s="31"/>
      <c r="HQ30" s="31"/>
      <c r="HR30" s="31"/>
      <c r="HS30" s="31"/>
      <c r="HT30" s="31"/>
      <c r="HU30" s="31"/>
      <c r="HV30" s="31"/>
      <c r="HW30" s="31"/>
      <c r="HX30" s="31"/>
      <c r="HY30" s="31"/>
      <c r="HZ30" s="31"/>
      <c r="IA30" s="31"/>
      <c r="IB30" s="31"/>
      <c r="IC30" s="31"/>
      <c r="ID30" s="31"/>
      <c r="IE30" s="31"/>
      <c r="IF30" s="31"/>
      <c r="IG30" s="31"/>
      <c r="IH30" s="31"/>
      <c r="II30" s="31"/>
      <c r="IJ30" s="31"/>
      <c r="IK30" s="31"/>
      <c r="IL30" s="31"/>
      <c r="IM30" s="31"/>
      <c r="IN30" s="31"/>
      <c r="IO30" s="31"/>
      <c r="IP30" s="31"/>
      <c r="IQ30" s="31"/>
      <c r="IR30" s="31"/>
      <c r="IS30" s="31"/>
      <c r="IT30" s="31"/>
      <c r="IU30" s="31"/>
      <c r="IV30" s="31"/>
      <c r="IW30" s="31"/>
      <c r="IX30" s="31"/>
      <c r="IY30" s="31"/>
      <c r="IZ30" s="31"/>
      <c r="JA30" s="31"/>
      <c r="JB30" s="31"/>
      <c r="JC30" s="31"/>
      <c r="JD30" s="31"/>
      <c r="JE30" s="31"/>
      <c r="JF30" s="31"/>
      <c r="JG30" s="31"/>
      <c r="JH30" s="31"/>
      <c r="JI30" s="31"/>
      <c r="JJ30" s="31"/>
      <c r="JK30" s="31"/>
      <c r="JL30" s="31"/>
      <c r="JM30" s="31"/>
      <c r="JN30" s="31"/>
      <c r="JO30" s="31"/>
      <c r="JP30" s="31"/>
      <c r="JQ30" s="31"/>
      <c r="JR30" s="31"/>
      <c r="JS30" s="31"/>
      <c r="JT30" s="31"/>
      <c r="JU30" s="31"/>
      <c r="JV30" s="31"/>
      <c r="JW30" s="31"/>
      <c r="JX30" s="31"/>
      <c r="JY30" s="31"/>
      <c r="JZ30" s="31"/>
      <c r="KA30" s="31"/>
      <c r="KB30" s="31"/>
      <c r="KC30" s="31"/>
      <c r="KD30" s="31"/>
      <c r="KE30" s="31"/>
      <c r="KF30" s="31"/>
      <c r="KG30" s="31"/>
      <c r="KH30" s="31"/>
      <c r="KI30" s="31"/>
      <c r="KJ30" s="31"/>
      <c r="KK30" s="31"/>
      <c r="KL30" s="31"/>
      <c r="KM30" s="31"/>
      <c r="KN30" s="31"/>
      <c r="KO30" s="31"/>
      <c r="KP30" s="31"/>
      <c r="KQ30" s="31"/>
      <c r="KR30" s="31"/>
      <c r="KS30" s="31"/>
      <c r="KT30" s="31"/>
      <c r="KU30" s="31"/>
      <c r="KV30" s="31"/>
      <c r="KW30" s="31"/>
      <c r="KX30" s="31"/>
      <c r="KY30" s="31"/>
      <c r="KZ30" s="31"/>
      <c r="LA30" s="31"/>
      <c r="LB30" s="31"/>
      <c r="LC30" s="31"/>
      <c r="LD30" s="31"/>
      <c r="LE30" s="31"/>
      <c r="LF30" s="31"/>
      <c r="LG30" s="31"/>
      <c r="LH30" s="31"/>
      <c r="LI30" s="31"/>
      <c r="LJ30" s="31"/>
      <c r="LK30" s="31"/>
      <c r="LL30" s="31"/>
      <c r="LM30" s="31"/>
      <c r="LN30" s="31"/>
      <c r="LO30" s="31"/>
      <c r="LP30" s="31"/>
      <c r="LQ30" s="31"/>
      <c r="LR30" s="31"/>
      <c r="LS30" s="31"/>
      <c r="LT30" s="31"/>
      <c r="LU30" s="31"/>
      <c r="LV30" s="31"/>
      <c r="LW30" s="31"/>
      <c r="LX30" s="31"/>
      <c r="LY30" s="31"/>
      <c r="LZ30" s="31"/>
      <c r="MA30" s="31"/>
      <c r="MB30" s="31"/>
      <c r="MC30" s="31"/>
      <c r="MD30" s="31"/>
      <c r="ME30" s="31"/>
      <c r="MF30" s="31"/>
    </row>
    <row r="31" spans="1:344" s="3" customFormat="1" ht="37.5" customHeight="1">
      <c r="A31" s="45"/>
      <c r="B31" s="180" t="str">
        <f>'OKR '!D49</f>
        <v>Apresentar resultados das qualificações - CIB Micro</v>
      </c>
      <c r="C31" s="180" t="str">
        <f>'OKR '!E49</f>
        <v>Grupo de Trabalho</v>
      </c>
      <c r="D31" s="181"/>
      <c r="E31" s="182">
        <f>'OKR '!G49</f>
        <v>46327</v>
      </c>
      <c r="F31" s="182">
        <f>'OKR '!H49</f>
        <v>46356</v>
      </c>
      <c r="G31" s="14"/>
      <c r="H31" s="14"/>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c r="HX31" s="31"/>
      <c r="HY31" s="31"/>
      <c r="HZ31" s="31"/>
      <c r="IA31" s="31"/>
      <c r="IB31" s="31"/>
      <c r="IC31" s="31"/>
      <c r="ID31" s="31"/>
      <c r="IE31" s="31"/>
      <c r="IF31" s="31"/>
      <c r="IG31" s="31"/>
      <c r="IH31" s="31"/>
      <c r="II31" s="31"/>
      <c r="IJ31" s="31"/>
      <c r="IK31" s="31"/>
      <c r="IL31" s="31"/>
      <c r="IM31" s="31"/>
      <c r="IN31" s="31"/>
      <c r="IO31" s="31"/>
      <c r="IP31" s="31"/>
      <c r="IQ31" s="31"/>
      <c r="IR31" s="31"/>
      <c r="IS31" s="31"/>
      <c r="IT31" s="31"/>
      <c r="IU31" s="31"/>
      <c r="IV31" s="31"/>
      <c r="IW31" s="31"/>
      <c r="IX31" s="31"/>
      <c r="IY31" s="31"/>
      <c r="IZ31" s="31"/>
      <c r="JA31" s="31"/>
      <c r="JB31" s="31"/>
      <c r="JC31" s="31"/>
      <c r="JD31" s="31"/>
      <c r="JE31" s="31"/>
      <c r="JF31" s="31"/>
      <c r="JG31" s="31"/>
      <c r="JH31" s="31"/>
      <c r="JI31" s="31"/>
      <c r="JJ31" s="31"/>
      <c r="JK31" s="31"/>
      <c r="JL31" s="31"/>
      <c r="JM31" s="31"/>
      <c r="JN31" s="31"/>
      <c r="JO31" s="31"/>
      <c r="JP31" s="31"/>
      <c r="JQ31" s="31"/>
      <c r="JR31" s="31"/>
      <c r="JS31" s="31"/>
      <c r="JT31" s="31"/>
      <c r="JU31" s="31"/>
      <c r="JV31" s="31"/>
      <c r="JW31" s="31"/>
      <c r="JX31" s="31"/>
      <c r="JY31" s="31"/>
      <c r="JZ31" s="31"/>
      <c r="KA31" s="31"/>
      <c r="KB31" s="31"/>
      <c r="KC31" s="31"/>
      <c r="KD31" s="31"/>
      <c r="KE31" s="31"/>
      <c r="KF31" s="31"/>
      <c r="KG31" s="31"/>
      <c r="KH31" s="31"/>
      <c r="KI31" s="31"/>
      <c r="KJ31" s="31"/>
      <c r="KK31" s="31"/>
      <c r="KL31" s="31"/>
      <c r="KM31" s="31"/>
      <c r="KN31" s="31"/>
      <c r="KO31" s="31"/>
      <c r="KP31" s="31"/>
      <c r="KQ31" s="31"/>
      <c r="KR31" s="31"/>
      <c r="KS31" s="31"/>
      <c r="KT31" s="31"/>
      <c r="KU31" s="31"/>
      <c r="KV31" s="31"/>
      <c r="KW31" s="31"/>
      <c r="KX31" s="31"/>
      <c r="KY31" s="31"/>
      <c r="KZ31" s="31"/>
      <c r="LA31" s="31"/>
      <c r="LB31" s="31"/>
      <c r="LC31" s="31"/>
      <c r="LD31" s="31"/>
      <c r="LE31" s="31"/>
      <c r="LF31" s="31"/>
      <c r="LG31" s="31"/>
      <c r="LH31" s="31"/>
      <c r="LI31" s="31"/>
      <c r="LJ31" s="31"/>
      <c r="LK31" s="31"/>
      <c r="LL31" s="31"/>
      <c r="LM31" s="31"/>
      <c r="LN31" s="31"/>
      <c r="LO31" s="31"/>
      <c r="LP31" s="31"/>
      <c r="LQ31" s="31"/>
      <c r="LR31" s="31"/>
      <c r="LS31" s="31"/>
      <c r="LT31" s="31"/>
      <c r="LU31" s="31"/>
      <c r="LV31" s="31"/>
      <c r="LW31" s="31"/>
      <c r="LX31" s="31"/>
      <c r="LY31" s="31"/>
      <c r="LZ31" s="31"/>
      <c r="MA31" s="31"/>
      <c r="MB31" s="31"/>
      <c r="MC31" s="31"/>
      <c r="MD31" s="31"/>
      <c r="ME31" s="31"/>
      <c r="MF31" s="31"/>
    </row>
    <row r="32" spans="1:344" s="3" customFormat="1" ht="15" hidden="1" customHeight="1">
      <c r="A32" s="45"/>
      <c r="B32" s="88">
        <f>'OKR '!D50</f>
        <v>0</v>
      </c>
      <c r="C32" s="88">
        <f>'OKR '!E50</f>
        <v>0</v>
      </c>
      <c r="D32" s="20"/>
      <c r="E32" s="75">
        <f>'OKR '!G50</f>
        <v>0</v>
      </c>
      <c r="F32" s="75">
        <f>'OKR '!H50</f>
        <v>0</v>
      </c>
      <c r="G32" s="14"/>
      <c r="H32" s="14"/>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c r="GG32" s="31"/>
      <c r="GH32" s="31"/>
      <c r="GI32" s="31"/>
      <c r="GJ32" s="31"/>
      <c r="GK32" s="31"/>
      <c r="GL32" s="31"/>
      <c r="GM32" s="31"/>
      <c r="GN32" s="31"/>
      <c r="GO32" s="31"/>
      <c r="GP32" s="31"/>
      <c r="GQ32" s="31"/>
      <c r="GR32" s="31"/>
      <c r="GS32" s="31"/>
      <c r="GT32" s="31"/>
      <c r="GU32" s="31"/>
      <c r="GV32" s="31"/>
      <c r="GW32" s="31"/>
      <c r="GX32" s="31"/>
      <c r="GY32" s="31"/>
      <c r="GZ32" s="31"/>
      <c r="HA32" s="31"/>
      <c r="HB32" s="31"/>
      <c r="HC32" s="31"/>
      <c r="HD32" s="31"/>
      <c r="HE32" s="31"/>
      <c r="HF32" s="31"/>
      <c r="HG32" s="31"/>
      <c r="HH32" s="31"/>
      <c r="HI32" s="31"/>
      <c r="HJ32" s="31"/>
      <c r="HK32" s="31"/>
      <c r="HL32" s="31"/>
      <c r="HM32" s="31"/>
      <c r="HN32" s="31"/>
      <c r="HO32" s="31"/>
      <c r="HP32" s="31"/>
      <c r="HQ32" s="31"/>
      <c r="HR32" s="31"/>
      <c r="HS32" s="31"/>
      <c r="HT32" s="31"/>
      <c r="HU32" s="31"/>
      <c r="HV32" s="31"/>
      <c r="HW32" s="31"/>
      <c r="HX32" s="31"/>
      <c r="HY32" s="31"/>
      <c r="HZ32" s="31"/>
      <c r="IA32" s="31"/>
      <c r="IB32" s="31"/>
      <c r="IC32" s="31"/>
      <c r="ID32" s="31"/>
      <c r="IE32" s="31"/>
      <c r="IF32" s="31"/>
      <c r="IG32" s="31"/>
      <c r="IH32" s="31"/>
      <c r="II32" s="31"/>
      <c r="IJ32" s="31"/>
      <c r="IK32" s="31"/>
      <c r="IL32" s="31"/>
      <c r="IM32" s="31"/>
      <c r="IN32" s="31"/>
      <c r="IO32" s="31"/>
      <c r="IP32" s="31"/>
      <c r="IQ32" s="31"/>
      <c r="IR32" s="31"/>
      <c r="IS32" s="31"/>
      <c r="IT32" s="31"/>
      <c r="IU32" s="31"/>
      <c r="IV32" s="31"/>
      <c r="IW32" s="31"/>
      <c r="IX32" s="31"/>
      <c r="IY32" s="31"/>
      <c r="IZ32" s="31"/>
      <c r="JA32" s="31"/>
      <c r="JB32" s="31"/>
      <c r="JC32" s="31"/>
      <c r="JD32" s="31"/>
      <c r="JE32" s="31"/>
      <c r="JF32" s="31"/>
      <c r="JG32" s="31"/>
      <c r="JH32" s="31"/>
      <c r="JI32" s="31"/>
      <c r="JJ32" s="31"/>
      <c r="JK32" s="31"/>
      <c r="JL32" s="31"/>
      <c r="JM32" s="31"/>
      <c r="JN32" s="31"/>
      <c r="JO32" s="31"/>
      <c r="JP32" s="31"/>
      <c r="JQ32" s="31"/>
      <c r="JR32" s="31"/>
      <c r="JS32" s="31"/>
      <c r="JT32" s="31"/>
      <c r="JU32" s="31"/>
      <c r="JV32" s="31"/>
      <c r="JW32" s="31"/>
      <c r="JX32" s="31"/>
      <c r="JY32" s="31"/>
      <c r="JZ32" s="31"/>
      <c r="KA32" s="31"/>
      <c r="KB32" s="31"/>
      <c r="KC32" s="31"/>
      <c r="KD32" s="31"/>
      <c r="KE32" s="31"/>
      <c r="KF32" s="31"/>
      <c r="KG32" s="31"/>
      <c r="KH32" s="31"/>
      <c r="KI32" s="31"/>
      <c r="KJ32" s="31"/>
      <c r="KK32" s="31"/>
      <c r="KL32" s="31"/>
      <c r="KM32" s="31"/>
      <c r="KN32" s="31"/>
      <c r="KO32" s="31"/>
      <c r="KP32" s="31"/>
      <c r="KQ32" s="31"/>
      <c r="KR32" s="31"/>
      <c r="KS32" s="31"/>
      <c r="KT32" s="31"/>
      <c r="KU32" s="31"/>
      <c r="KV32" s="31"/>
      <c r="KW32" s="31"/>
      <c r="KX32" s="31"/>
      <c r="KY32" s="31"/>
      <c r="KZ32" s="31"/>
      <c r="LA32" s="31"/>
      <c r="LB32" s="31"/>
      <c r="LC32" s="31"/>
      <c r="LD32" s="31"/>
      <c r="LE32" s="31"/>
      <c r="LF32" s="31"/>
      <c r="LG32" s="31"/>
      <c r="LH32" s="31"/>
      <c r="LI32" s="31"/>
      <c r="LJ32" s="31"/>
      <c r="LK32" s="31"/>
      <c r="LL32" s="31"/>
      <c r="LM32" s="31"/>
      <c r="LN32" s="31"/>
      <c r="LO32" s="31"/>
      <c r="LP32" s="31"/>
      <c r="LQ32" s="31"/>
      <c r="LR32" s="31"/>
      <c r="LS32" s="31"/>
      <c r="LT32" s="31"/>
      <c r="LU32" s="31"/>
      <c r="LV32" s="31"/>
      <c r="LW32" s="31"/>
      <c r="LX32" s="31"/>
      <c r="LY32" s="31"/>
      <c r="LZ32" s="31"/>
      <c r="MA32" s="31"/>
      <c r="MB32" s="31"/>
      <c r="MC32" s="31"/>
      <c r="MD32" s="31"/>
      <c r="ME32" s="31"/>
      <c r="MF32" s="31"/>
    </row>
    <row r="33" spans="1:344" s="3" customFormat="1" ht="15" hidden="1" customHeight="1">
      <c r="A33" s="45"/>
      <c r="B33" s="88">
        <f>'OKR '!D51</f>
        <v>0</v>
      </c>
      <c r="C33" s="88">
        <f>'OKR '!E51</f>
        <v>0</v>
      </c>
      <c r="D33" s="20"/>
      <c r="E33" s="75">
        <f>'OKR '!G51</f>
        <v>0</v>
      </c>
      <c r="F33" s="75">
        <f>'OKR '!H51</f>
        <v>0</v>
      </c>
      <c r="G33" s="14"/>
      <c r="H33" s="14"/>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c r="GG33" s="31"/>
      <c r="GH33" s="31"/>
      <c r="GI33" s="31"/>
      <c r="GJ33" s="31"/>
      <c r="GK33" s="31"/>
      <c r="GL33" s="31"/>
      <c r="GM33" s="31"/>
      <c r="GN33" s="31"/>
      <c r="GO33" s="31"/>
      <c r="GP33" s="31"/>
      <c r="GQ33" s="31"/>
      <c r="GR33" s="31"/>
      <c r="GS33" s="31"/>
      <c r="GT33" s="31"/>
      <c r="GU33" s="31"/>
      <c r="GV33" s="31"/>
      <c r="GW33" s="31"/>
      <c r="GX33" s="31"/>
      <c r="GY33" s="31"/>
      <c r="GZ33" s="31"/>
      <c r="HA33" s="31"/>
      <c r="HB33" s="31"/>
      <c r="HC33" s="31"/>
      <c r="HD33" s="31"/>
      <c r="HE33" s="31"/>
      <c r="HF33" s="31"/>
      <c r="HG33" s="31"/>
      <c r="HH33" s="31"/>
      <c r="HI33" s="31"/>
      <c r="HJ33" s="31"/>
      <c r="HK33" s="31"/>
      <c r="HL33" s="31"/>
      <c r="HM33" s="31"/>
      <c r="HN33" s="31"/>
      <c r="HO33" s="31"/>
      <c r="HP33" s="31"/>
      <c r="HQ33" s="31"/>
      <c r="HR33" s="31"/>
      <c r="HS33" s="31"/>
      <c r="HT33" s="31"/>
      <c r="HU33" s="31"/>
      <c r="HV33" s="31"/>
      <c r="HW33" s="31"/>
      <c r="HX33" s="31"/>
      <c r="HY33" s="31"/>
      <c r="HZ33" s="31"/>
      <c r="IA33" s="31"/>
      <c r="IB33" s="31"/>
      <c r="IC33" s="31"/>
      <c r="ID33" s="31"/>
      <c r="IE33" s="31"/>
      <c r="IF33" s="31"/>
      <c r="IG33" s="31"/>
      <c r="IH33" s="31"/>
      <c r="II33" s="31"/>
      <c r="IJ33" s="31"/>
      <c r="IK33" s="31"/>
      <c r="IL33" s="31"/>
      <c r="IM33" s="31"/>
      <c r="IN33" s="31"/>
      <c r="IO33" s="31"/>
      <c r="IP33" s="31"/>
      <c r="IQ33" s="31"/>
      <c r="IR33" s="31"/>
      <c r="IS33" s="31"/>
      <c r="IT33" s="31"/>
      <c r="IU33" s="31"/>
      <c r="IV33" s="31"/>
      <c r="IW33" s="31"/>
      <c r="IX33" s="31"/>
      <c r="IY33" s="31"/>
      <c r="IZ33" s="31"/>
      <c r="JA33" s="31"/>
      <c r="JB33" s="31"/>
      <c r="JC33" s="31"/>
      <c r="JD33" s="31"/>
      <c r="JE33" s="31"/>
      <c r="JF33" s="31"/>
      <c r="JG33" s="31"/>
      <c r="JH33" s="31"/>
      <c r="JI33" s="31"/>
      <c r="JJ33" s="31"/>
      <c r="JK33" s="31"/>
      <c r="JL33" s="31"/>
      <c r="JM33" s="31"/>
      <c r="JN33" s="31"/>
      <c r="JO33" s="31"/>
      <c r="JP33" s="31"/>
      <c r="JQ33" s="31"/>
      <c r="JR33" s="31"/>
      <c r="JS33" s="31"/>
      <c r="JT33" s="31"/>
      <c r="JU33" s="31"/>
      <c r="JV33" s="31"/>
      <c r="JW33" s="31"/>
      <c r="JX33" s="31"/>
      <c r="JY33" s="31"/>
      <c r="JZ33" s="31"/>
      <c r="KA33" s="31"/>
      <c r="KB33" s="31"/>
      <c r="KC33" s="31"/>
      <c r="KD33" s="31"/>
      <c r="KE33" s="31"/>
      <c r="KF33" s="31"/>
      <c r="KG33" s="31"/>
      <c r="KH33" s="31"/>
      <c r="KI33" s="31"/>
      <c r="KJ33" s="31"/>
      <c r="KK33" s="31"/>
      <c r="KL33" s="31"/>
      <c r="KM33" s="31"/>
      <c r="KN33" s="31"/>
      <c r="KO33" s="31"/>
      <c r="KP33" s="31"/>
      <c r="KQ33" s="31"/>
      <c r="KR33" s="31"/>
      <c r="KS33" s="31"/>
      <c r="KT33" s="31"/>
      <c r="KU33" s="31"/>
      <c r="KV33" s="31"/>
      <c r="KW33" s="31"/>
      <c r="KX33" s="31"/>
      <c r="KY33" s="31"/>
      <c r="KZ33" s="31"/>
      <c r="LA33" s="31"/>
      <c r="LB33" s="31"/>
      <c r="LC33" s="31"/>
      <c r="LD33" s="31"/>
      <c r="LE33" s="31"/>
      <c r="LF33" s="31"/>
      <c r="LG33" s="31"/>
      <c r="LH33" s="31"/>
      <c r="LI33" s="31"/>
      <c r="LJ33" s="31"/>
      <c r="LK33" s="31"/>
      <c r="LL33" s="31"/>
      <c r="LM33" s="31"/>
      <c r="LN33" s="31"/>
      <c r="LO33" s="31"/>
      <c r="LP33" s="31"/>
      <c r="LQ33" s="31"/>
      <c r="LR33" s="31"/>
      <c r="LS33" s="31"/>
      <c r="LT33" s="31"/>
      <c r="LU33" s="31"/>
      <c r="LV33" s="31"/>
      <c r="LW33" s="31"/>
      <c r="LX33" s="31"/>
      <c r="LY33" s="31"/>
      <c r="LZ33" s="31"/>
      <c r="MA33" s="31"/>
      <c r="MB33" s="31"/>
      <c r="MC33" s="31"/>
      <c r="MD33" s="31"/>
      <c r="ME33" s="31"/>
      <c r="MF33" s="31"/>
    </row>
    <row r="34" spans="1:344" s="3" customFormat="1" ht="30" customHeight="1">
      <c r="A34" s="45" t="s">
        <v>170</v>
      </c>
      <c r="B34" s="264" t="str">
        <f>'OKR '!D56</f>
        <v>Realizar 1º ciclo completo de formações</v>
      </c>
      <c r="C34" s="264"/>
      <c r="D34" s="264"/>
      <c r="E34" s="264"/>
      <c r="F34" s="264"/>
      <c r="G34" s="14"/>
      <c r="H34" s="14" t="str">
        <f t="shared" ca="1" si="332"/>
        <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c r="GG34" s="31"/>
      <c r="GH34" s="31"/>
      <c r="GI34" s="31"/>
      <c r="GJ34" s="31"/>
      <c r="GK34" s="31"/>
      <c r="GL34" s="31"/>
      <c r="GM34" s="31"/>
      <c r="GN34" s="31"/>
      <c r="GO34" s="31"/>
      <c r="GP34" s="31"/>
      <c r="GQ34" s="31"/>
      <c r="GR34" s="31"/>
      <c r="GS34" s="31"/>
      <c r="GT34" s="31"/>
      <c r="GU34" s="31"/>
      <c r="GV34" s="31"/>
      <c r="GW34" s="31"/>
      <c r="GX34" s="31"/>
      <c r="GY34" s="31"/>
      <c r="GZ34" s="31"/>
      <c r="HA34" s="31"/>
      <c r="HB34" s="31"/>
      <c r="HC34" s="31"/>
      <c r="HD34" s="31"/>
      <c r="HE34" s="31"/>
      <c r="HF34" s="31"/>
      <c r="HG34" s="31"/>
      <c r="HH34" s="31"/>
      <c r="HI34" s="31"/>
      <c r="HJ34" s="31"/>
      <c r="HK34" s="31"/>
      <c r="HL34" s="31"/>
      <c r="HM34" s="31"/>
      <c r="HN34" s="31"/>
      <c r="HO34" s="31"/>
      <c r="HP34" s="31"/>
      <c r="HQ34" s="31"/>
      <c r="HR34" s="31"/>
      <c r="HS34" s="31"/>
      <c r="HT34" s="31"/>
      <c r="HU34" s="31"/>
      <c r="HV34" s="31"/>
      <c r="HW34" s="31"/>
      <c r="HX34" s="31"/>
      <c r="HY34" s="31"/>
      <c r="HZ34" s="31"/>
      <c r="IA34" s="31"/>
      <c r="IB34" s="31"/>
      <c r="IC34" s="31"/>
      <c r="ID34" s="31"/>
      <c r="IE34" s="31"/>
      <c r="IF34" s="31"/>
      <c r="IG34" s="31"/>
      <c r="IH34" s="31"/>
      <c r="II34" s="31"/>
      <c r="IJ34" s="31"/>
      <c r="IK34" s="31"/>
      <c r="IL34" s="31"/>
      <c r="IM34" s="31"/>
      <c r="IN34" s="31"/>
      <c r="IO34" s="31"/>
      <c r="IP34" s="31"/>
      <c r="IQ34" s="31"/>
      <c r="IR34" s="31"/>
      <c r="IS34" s="31"/>
      <c r="IT34" s="31"/>
      <c r="IU34" s="31"/>
      <c r="IV34" s="31"/>
      <c r="IW34" s="31"/>
      <c r="IX34" s="31"/>
      <c r="IY34" s="31"/>
      <c r="IZ34" s="31"/>
      <c r="JA34" s="31"/>
      <c r="JB34" s="31"/>
      <c r="JC34" s="31"/>
      <c r="JD34" s="31"/>
      <c r="JE34" s="31"/>
      <c r="JF34" s="31"/>
      <c r="JG34" s="31"/>
      <c r="JH34" s="31"/>
      <c r="JI34" s="31"/>
      <c r="JJ34" s="31"/>
      <c r="JK34" s="31"/>
      <c r="JL34" s="31"/>
      <c r="JM34" s="31"/>
      <c r="JN34" s="31"/>
      <c r="JO34" s="31"/>
      <c r="JP34" s="31"/>
      <c r="JQ34" s="31"/>
      <c r="JR34" s="31"/>
      <c r="JS34" s="31"/>
      <c r="JT34" s="31"/>
      <c r="JU34" s="31"/>
      <c r="JV34" s="31"/>
      <c r="JW34" s="31"/>
      <c r="JX34" s="31"/>
      <c r="JY34" s="31"/>
      <c r="JZ34" s="31"/>
      <c r="KA34" s="31"/>
      <c r="KB34" s="31"/>
      <c r="KC34" s="31"/>
      <c r="KD34" s="31"/>
      <c r="KE34" s="31"/>
      <c r="KF34" s="31"/>
      <c r="KG34" s="31"/>
      <c r="KH34" s="31"/>
      <c r="KI34" s="31"/>
      <c r="KJ34" s="31"/>
      <c r="KK34" s="31"/>
      <c r="KL34" s="31"/>
      <c r="KM34" s="31"/>
      <c r="KN34" s="31"/>
      <c r="KO34" s="31"/>
      <c r="KP34" s="31"/>
      <c r="KQ34" s="31"/>
      <c r="KR34" s="31"/>
      <c r="KS34" s="31"/>
      <c r="KT34" s="31"/>
      <c r="KU34" s="31"/>
      <c r="KV34" s="31"/>
      <c r="KW34" s="31"/>
      <c r="KX34" s="31"/>
      <c r="KY34" s="31"/>
      <c r="KZ34" s="31"/>
      <c r="LA34" s="31"/>
      <c r="LB34" s="31"/>
      <c r="LC34" s="31"/>
      <c r="LD34" s="31"/>
      <c r="LE34" s="31"/>
      <c r="LF34" s="31"/>
      <c r="LG34" s="31"/>
      <c r="LH34" s="31"/>
      <c r="LI34" s="31"/>
      <c r="LJ34" s="31"/>
      <c r="LK34" s="31"/>
      <c r="LL34" s="31"/>
      <c r="LM34" s="31"/>
      <c r="LN34" s="31"/>
      <c r="LO34" s="31"/>
      <c r="LP34" s="31"/>
      <c r="LQ34" s="31"/>
      <c r="LR34" s="31"/>
      <c r="LS34" s="31"/>
      <c r="LT34" s="31"/>
      <c r="LU34" s="31"/>
      <c r="LV34" s="31"/>
      <c r="LW34" s="31"/>
      <c r="LX34" s="31"/>
      <c r="LY34" s="31"/>
      <c r="LZ34" s="31"/>
      <c r="MA34" s="31"/>
      <c r="MB34" s="31"/>
      <c r="MC34" s="31"/>
      <c r="MD34" s="31"/>
      <c r="ME34" s="31"/>
      <c r="MF34" s="31"/>
    </row>
    <row r="35" spans="1:344" s="3" customFormat="1" ht="57.75" customHeight="1">
      <c r="A35" s="45"/>
      <c r="B35" s="183" t="str">
        <f>'OKR '!D59</f>
        <v>Realizar campanha de sensibilização e mobilização para formações</v>
      </c>
      <c r="C35" s="183" t="str">
        <f>'OKR '!E59</f>
        <v>Grupo de Trabalho; Regional;  Gestores Municipais</v>
      </c>
      <c r="D35" s="184"/>
      <c r="E35" s="185">
        <f>'OKR '!G59</f>
        <v>46113</v>
      </c>
      <c r="F35" s="185">
        <f>'OKR '!H59</f>
        <v>46173</v>
      </c>
      <c r="G35" s="14"/>
      <c r="H35" s="14">
        <f t="shared" ca="1" si="332"/>
        <v>61</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c r="GG35" s="31"/>
      <c r="GH35" s="31"/>
      <c r="GI35" s="31"/>
      <c r="GJ35" s="31"/>
      <c r="GK35" s="31"/>
      <c r="GL35" s="31"/>
      <c r="GM35" s="31"/>
      <c r="GN35" s="31"/>
      <c r="GO35" s="31"/>
      <c r="GP35" s="31"/>
      <c r="GQ35" s="31"/>
      <c r="GR35" s="31"/>
      <c r="GS35" s="31"/>
      <c r="GT35" s="31"/>
      <c r="GU35" s="31"/>
      <c r="GV35" s="31"/>
      <c r="GW35" s="31"/>
      <c r="GX35" s="31"/>
      <c r="GY35" s="31"/>
      <c r="GZ35" s="31"/>
      <c r="HA35" s="31"/>
      <c r="HB35" s="31"/>
      <c r="HC35" s="31"/>
      <c r="HD35" s="31"/>
      <c r="HE35" s="31"/>
      <c r="HF35" s="31"/>
      <c r="HG35" s="31"/>
      <c r="HH35" s="31"/>
      <c r="HI35" s="31"/>
      <c r="HJ35" s="31"/>
      <c r="HK35" s="31"/>
      <c r="HL35" s="31"/>
      <c r="HM35" s="31"/>
      <c r="HN35" s="31"/>
      <c r="HO35" s="31"/>
      <c r="HP35" s="31"/>
      <c r="HQ35" s="31"/>
      <c r="HR35" s="31"/>
      <c r="HS35" s="31"/>
      <c r="HT35" s="31"/>
      <c r="HU35" s="31"/>
      <c r="HV35" s="31"/>
      <c r="HW35" s="31"/>
      <c r="HX35" s="31"/>
      <c r="HY35" s="31"/>
      <c r="HZ35" s="31"/>
      <c r="IA35" s="31"/>
      <c r="IB35" s="31"/>
      <c r="IC35" s="31"/>
      <c r="ID35" s="31"/>
      <c r="IE35" s="31"/>
      <c r="IF35" s="31"/>
      <c r="IG35" s="31"/>
      <c r="IH35" s="31"/>
      <c r="II35" s="31"/>
      <c r="IJ35" s="31"/>
      <c r="IK35" s="31"/>
      <c r="IL35" s="31"/>
      <c r="IM35" s="31"/>
      <c r="IN35" s="31"/>
      <c r="IO35" s="31"/>
      <c r="IP35" s="31"/>
      <c r="IQ35" s="31"/>
      <c r="IR35" s="31"/>
      <c r="IS35" s="31"/>
      <c r="IT35" s="31"/>
      <c r="IU35" s="31"/>
      <c r="IV35" s="31"/>
      <c r="IW35" s="31"/>
      <c r="IX35" s="31"/>
      <c r="IY35" s="31"/>
      <c r="IZ35" s="31"/>
      <c r="JA35" s="31"/>
      <c r="JB35" s="31"/>
      <c r="JC35" s="31"/>
      <c r="JD35" s="31"/>
      <c r="JE35" s="31"/>
      <c r="JF35" s="31"/>
      <c r="JG35" s="31"/>
      <c r="JH35" s="31"/>
      <c r="JI35" s="31"/>
      <c r="JJ35" s="31"/>
      <c r="JK35" s="31"/>
      <c r="JL35" s="31"/>
      <c r="JM35" s="31"/>
      <c r="JN35" s="31"/>
      <c r="JO35" s="31"/>
      <c r="JP35" s="31"/>
      <c r="JQ35" s="31"/>
      <c r="JR35" s="31"/>
      <c r="JS35" s="31"/>
      <c r="JT35" s="31"/>
      <c r="JU35" s="31"/>
      <c r="JV35" s="31"/>
      <c r="JW35" s="31"/>
      <c r="JX35" s="31"/>
      <c r="JY35" s="31"/>
      <c r="JZ35" s="31"/>
      <c r="KA35" s="31"/>
      <c r="KB35" s="31"/>
      <c r="KC35" s="31"/>
      <c r="KD35" s="31"/>
      <c r="KE35" s="31"/>
      <c r="KF35" s="31"/>
      <c r="KG35" s="31"/>
      <c r="KH35" s="31"/>
      <c r="KI35" s="31"/>
      <c r="KJ35" s="31"/>
      <c r="KK35" s="31"/>
      <c r="KL35" s="31"/>
      <c r="KM35" s="31"/>
      <c r="KN35" s="31"/>
      <c r="KO35" s="31"/>
      <c r="KP35" s="31"/>
      <c r="KQ35" s="31"/>
      <c r="KR35" s="31"/>
      <c r="KS35" s="31"/>
      <c r="KT35" s="31"/>
      <c r="KU35" s="31"/>
      <c r="KV35" s="31"/>
      <c r="KW35" s="31"/>
      <c r="KX35" s="31"/>
      <c r="KY35" s="31"/>
      <c r="KZ35" s="31"/>
      <c r="LA35" s="31"/>
      <c r="LB35" s="31"/>
      <c r="LC35" s="31"/>
      <c r="LD35" s="31"/>
      <c r="LE35" s="31"/>
      <c r="LF35" s="31"/>
      <c r="LG35" s="31"/>
      <c r="LH35" s="31"/>
      <c r="LI35" s="31"/>
      <c r="LJ35" s="31"/>
      <c r="LK35" s="31"/>
      <c r="LL35" s="31"/>
      <c r="LM35" s="31"/>
      <c r="LN35" s="31"/>
      <c r="LO35" s="31"/>
      <c r="LP35" s="31"/>
      <c r="LQ35" s="31"/>
      <c r="LR35" s="31"/>
      <c r="LS35" s="31"/>
      <c r="LT35" s="31"/>
      <c r="LU35" s="31"/>
      <c r="LV35" s="31"/>
      <c r="LW35" s="31"/>
      <c r="LX35" s="31"/>
      <c r="LY35" s="31"/>
      <c r="LZ35" s="31"/>
      <c r="MA35" s="31"/>
      <c r="MB35" s="31"/>
      <c r="MC35" s="31"/>
      <c r="MD35" s="31"/>
      <c r="ME35" s="31"/>
      <c r="MF35" s="31"/>
    </row>
    <row r="36" spans="1:344" s="3" customFormat="1" ht="57.75" customHeight="1">
      <c r="A36" s="45"/>
      <c r="B36" s="183" t="str">
        <f>'OKR '!D60</f>
        <v>Realizar formações priorizadas</v>
      </c>
      <c r="C36" s="183" t="str">
        <f>'OKR '!E60</f>
        <v>Grupo de Trabalho, Regional, Gestores Municipais, NSDIGI, Grupo de Telessaúde e Gestão de Dados</v>
      </c>
      <c r="D36" s="184"/>
      <c r="E36" s="185">
        <f>'OKR '!G60</f>
        <v>46143</v>
      </c>
      <c r="F36" s="185">
        <f>'OKR '!H60</f>
        <v>46234</v>
      </c>
      <c r="G36" s="14"/>
      <c r="H36" s="14">
        <f t="shared" ca="1" si="332"/>
        <v>92</v>
      </c>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c r="GG36" s="31"/>
      <c r="GH36" s="31"/>
      <c r="GI36" s="31"/>
      <c r="GJ36" s="31"/>
      <c r="GK36" s="31"/>
      <c r="GL36" s="31"/>
      <c r="GM36" s="31"/>
      <c r="GN36" s="31"/>
      <c r="GO36" s="31"/>
      <c r="GP36" s="31"/>
      <c r="GQ36" s="31"/>
      <c r="GR36" s="31"/>
      <c r="GS36" s="31"/>
      <c r="GT36" s="31"/>
      <c r="GU36" s="31"/>
      <c r="GV36" s="31"/>
      <c r="GW36" s="31"/>
      <c r="GX36" s="31"/>
      <c r="GY36" s="31"/>
      <c r="GZ36" s="31"/>
      <c r="HA36" s="31"/>
      <c r="HB36" s="31"/>
      <c r="HC36" s="31"/>
      <c r="HD36" s="31"/>
      <c r="HE36" s="31"/>
      <c r="HF36" s="31"/>
      <c r="HG36" s="31"/>
      <c r="HH36" s="31"/>
      <c r="HI36" s="31"/>
      <c r="HJ36" s="31"/>
      <c r="HK36" s="31"/>
      <c r="HL36" s="31"/>
      <c r="HM36" s="31"/>
      <c r="HN36" s="31"/>
      <c r="HO36" s="31"/>
      <c r="HP36" s="31"/>
      <c r="HQ36" s="31"/>
      <c r="HR36" s="31"/>
      <c r="HS36" s="31"/>
      <c r="HT36" s="31"/>
      <c r="HU36" s="31"/>
      <c r="HV36" s="31"/>
      <c r="HW36" s="31"/>
      <c r="HX36" s="31"/>
      <c r="HY36" s="31"/>
      <c r="HZ36" s="31"/>
      <c r="IA36" s="31"/>
      <c r="IB36" s="31"/>
      <c r="IC36" s="31"/>
      <c r="ID36" s="31"/>
      <c r="IE36" s="31"/>
      <c r="IF36" s="31"/>
      <c r="IG36" s="31"/>
      <c r="IH36" s="31"/>
      <c r="II36" s="31"/>
      <c r="IJ36" s="31"/>
      <c r="IK36" s="31"/>
      <c r="IL36" s="31"/>
      <c r="IM36" s="31"/>
      <c r="IN36" s="31"/>
      <c r="IO36" s="31"/>
      <c r="IP36" s="31"/>
      <c r="IQ36" s="31"/>
      <c r="IR36" s="31"/>
      <c r="IS36" s="31"/>
      <c r="IT36" s="31"/>
      <c r="IU36" s="31"/>
      <c r="IV36" s="31"/>
      <c r="IW36" s="31"/>
      <c r="IX36" s="31"/>
      <c r="IY36" s="31"/>
      <c r="IZ36" s="31"/>
      <c r="JA36" s="31"/>
      <c r="JB36" s="31"/>
      <c r="JC36" s="31"/>
      <c r="JD36" s="31"/>
      <c r="JE36" s="31"/>
      <c r="JF36" s="31"/>
      <c r="JG36" s="31"/>
      <c r="JH36" s="31"/>
      <c r="JI36" s="31"/>
      <c r="JJ36" s="31"/>
      <c r="JK36" s="31"/>
      <c r="JL36" s="31"/>
      <c r="JM36" s="31"/>
      <c r="JN36" s="31"/>
      <c r="JO36" s="31"/>
      <c r="JP36" s="31"/>
      <c r="JQ36" s="31"/>
      <c r="JR36" s="31"/>
      <c r="JS36" s="31"/>
      <c r="JT36" s="31"/>
      <c r="JU36" s="31"/>
      <c r="JV36" s="31"/>
      <c r="JW36" s="31"/>
      <c r="JX36" s="31"/>
      <c r="JY36" s="31"/>
      <c r="JZ36" s="31"/>
      <c r="KA36" s="31"/>
      <c r="KB36" s="31"/>
      <c r="KC36" s="31"/>
      <c r="KD36" s="31"/>
      <c r="KE36" s="31"/>
      <c r="KF36" s="31"/>
      <c r="KG36" s="31"/>
      <c r="KH36" s="31"/>
      <c r="KI36" s="31"/>
      <c r="KJ36" s="31"/>
      <c r="KK36" s="31"/>
      <c r="KL36" s="31"/>
      <c r="KM36" s="31"/>
      <c r="KN36" s="31"/>
      <c r="KO36" s="31"/>
      <c r="KP36" s="31"/>
      <c r="KQ36" s="31"/>
      <c r="KR36" s="31"/>
      <c r="KS36" s="31"/>
      <c r="KT36" s="31"/>
      <c r="KU36" s="31"/>
      <c r="KV36" s="31"/>
      <c r="KW36" s="31"/>
      <c r="KX36" s="31"/>
      <c r="KY36" s="31"/>
      <c r="KZ36" s="31"/>
      <c r="LA36" s="31"/>
      <c r="LB36" s="31"/>
      <c r="LC36" s="31"/>
      <c r="LD36" s="31"/>
      <c r="LE36" s="31"/>
      <c r="LF36" s="31"/>
      <c r="LG36" s="31"/>
      <c r="LH36" s="31"/>
      <c r="LI36" s="31"/>
      <c r="LJ36" s="31"/>
      <c r="LK36" s="31"/>
      <c r="LL36" s="31"/>
      <c r="LM36" s="31"/>
      <c r="LN36" s="31"/>
      <c r="LO36" s="31"/>
      <c r="LP36" s="31"/>
      <c r="LQ36" s="31"/>
      <c r="LR36" s="31"/>
      <c r="LS36" s="31"/>
      <c r="LT36" s="31"/>
      <c r="LU36" s="31"/>
      <c r="LV36" s="31"/>
      <c r="LW36" s="31"/>
      <c r="LX36" s="31"/>
      <c r="LY36" s="31"/>
      <c r="LZ36" s="31"/>
      <c r="MA36" s="31"/>
      <c r="MB36" s="31"/>
      <c r="MC36" s="31"/>
      <c r="MD36" s="31"/>
      <c r="ME36" s="31"/>
      <c r="MF36" s="31"/>
    </row>
    <row r="37" spans="1:344" s="3" customFormat="1" ht="57.75" customHeight="1">
      <c r="A37" s="45"/>
      <c r="B37" s="183" t="str">
        <f>'OKR '!D61</f>
        <v>Aplicar avaliação</v>
      </c>
      <c r="C37" s="183" t="str">
        <f>'OKR '!E61</f>
        <v>Grupo de Trabalho</v>
      </c>
      <c r="D37" s="184"/>
      <c r="E37" s="185">
        <f>'OKR '!G61</f>
        <v>46235</v>
      </c>
      <c r="F37" s="185">
        <f>'OKR '!H61</f>
        <v>46265</v>
      </c>
      <c r="G37" s="14"/>
      <c r="H37" s="14">
        <f t="shared" ca="1" si="332"/>
        <v>31</v>
      </c>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c r="GG37" s="31"/>
      <c r="GH37" s="31"/>
      <c r="GI37" s="31"/>
      <c r="GJ37" s="31"/>
      <c r="GK37" s="31"/>
      <c r="GL37" s="31"/>
      <c r="GM37" s="31"/>
      <c r="GN37" s="31"/>
      <c r="GO37" s="31"/>
      <c r="GP37" s="31"/>
      <c r="GQ37" s="31"/>
      <c r="GR37" s="31"/>
      <c r="GS37" s="31"/>
      <c r="GT37" s="31"/>
      <c r="GU37" s="31"/>
      <c r="GV37" s="31"/>
      <c r="GW37" s="31"/>
      <c r="GX37" s="31"/>
      <c r="GY37" s="31"/>
      <c r="GZ37" s="31"/>
      <c r="HA37" s="31"/>
      <c r="HB37" s="31"/>
      <c r="HC37" s="31"/>
      <c r="HD37" s="31"/>
      <c r="HE37" s="31"/>
      <c r="HF37" s="31"/>
      <c r="HG37" s="31"/>
      <c r="HH37" s="31"/>
      <c r="HI37" s="31"/>
      <c r="HJ37" s="31"/>
      <c r="HK37" s="31"/>
      <c r="HL37" s="31"/>
      <c r="HM37" s="31"/>
      <c r="HN37" s="31"/>
      <c r="HO37" s="31"/>
      <c r="HP37" s="31"/>
      <c r="HQ37" s="31"/>
      <c r="HR37" s="31"/>
      <c r="HS37" s="31"/>
      <c r="HT37" s="31"/>
      <c r="HU37" s="31"/>
      <c r="HV37" s="31"/>
      <c r="HW37" s="31"/>
      <c r="HX37" s="31"/>
      <c r="HY37" s="31"/>
      <c r="HZ37" s="31"/>
      <c r="IA37" s="31"/>
      <c r="IB37" s="31"/>
      <c r="IC37" s="31"/>
      <c r="ID37" s="31"/>
      <c r="IE37" s="31"/>
      <c r="IF37" s="31"/>
      <c r="IG37" s="31"/>
      <c r="IH37" s="31"/>
      <c r="II37" s="31"/>
      <c r="IJ37" s="31"/>
      <c r="IK37" s="31"/>
      <c r="IL37" s="31"/>
      <c r="IM37" s="31"/>
      <c r="IN37" s="31"/>
      <c r="IO37" s="31"/>
      <c r="IP37" s="31"/>
      <c r="IQ37" s="31"/>
      <c r="IR37" s="31"/>
      <c r="IS37" s="31"/>
      <c r="IT37" s="31"/>
      <c r="IU37" s="31"/>
      <c r="IV37" s="31"/>
      <c r="IW37" s="31"/>
      <c r="IX37" s="31"/>
      <c r="IY37" s="31"/>
      <c r="IZ37" s="31"/>
      <c r="JA37" s="31"/>
      <c r="JB37" s="31"/>
      <c r="JC37" s="31"/>
      <c r="JD37" s="31"/>
      <c r="JE37" s="31"/>
      <c r="JF37" s="31"/>
      <c r="JG37" s="31"/>
      <c r="JH37" s="31"/>
      <c r="JI37" s="31"/>
      <c r="JJ37" s="31"/>
      <c r="JK37" s="31"/>
      <c r="JL37" s="31"/>
      <c r="JM37" s="31"/>
      <c r="JN37" s="31"/>
      <c r="JO37" s="31"/>
      <c r="JP37" s="31"/>
      <c r="JQ37" s="31"/>
      <c r="JR37" s="31"/>
      <c r="JS37" s="31"/>
      <c r="JT37" s="31"/>
      <c r="JU37" s="31"/>
      <c r="JV37" s="31"/>
      <c r="JW37" s="31"/>
      <c r="JX37" s="31"/>
      <c r="JY37" s="31"/>
      <c r="JZ37" s="31"/>
      <c r="KA37" s="31"/>
      <c r="KB37" s="31"/>
      <c r="KC37" s="31"/>
      <c r="KD37" s="31"/>
      <c r="KE37" s="31"/>
      <c r="KF37" s="31"/>
      <c r="KG37" s="31"/>
      <c r="KH37" s="31"/>
      <c r="KI37" s="31"/>
      <c r="KJ37" s="31"/>
      <c r="KK37" s="31"/>
      <c r="KL37" s="31"/>
      <c r="KM37" s="31"/>
      <c r="KN37" s="31"/>
      <c r="KO37" s="31"/>
      <c r="KP37" s="31"/>
      <c r="KQ37" s="31"/>
      <c r="KR37" s="31"/>
      <c r="KS37" s="31"/>
      <c r="KT37" s="31"/>
      <c r="KU37" s="31"/>
      <c r="KV37" s="31"/>
      <c r="KW37" s="31"/>
      <c r="KX37" s="31"/>
      <c r="KY37" s="31"/>
      <c r="KZ37" s="31"/>
      <c r="LA37" s="31"/>
      <c r="LB37" s="31"/>
      <c r="LC37" s="31"/>
      <c r="LD37" s="31"/>
      <c r="LE37" s="31"/>
      <c r="LF37" s="31"/>
      <c r="LG37" s="31"/>
      <c r="LH37" s="31"/>
      <c r="LI37" s="31"/>
      <c r="LJ37" s="31"/>
      <c r="LK37" s="31"/>
      <c r="LL37" s="31"/>
      <c r="LM37" s="31"/>
      <c r="LN37" s="31"/>
      <c r="LO37" s="31"/>
      <c r="LP37" s="31"/>
      <c r="LQ37" s="31"/>
      <c r="LR37" s="31"/>
      <c r="LS37" s="31"/>
      <c r="LT37" s="31"/>
      <c r="LU37" s="31"/>
      <c r="LV37" s="31"/>
      <c r="LW37" s="31"/>
      <c r="LX37" s="31"/>
      <c r="LY37" s="31"/>
      <c r="LZ37" s="31"/>
      <c r="MA37" s="31"/>
      <c r="MB37" s="31"/>
      <c r="MC37" s="31"/>
      <c r="MD37" s="31"/>
      <c r="ME37" s="31"/>
      <c r="MF37" s="31"/>
    </row>
    <row r="38" spans="1:344" s="3" customFormat="1" ht="57.75" customHeight="1">
      <c r="A38" s="45"/>
      <c r="B38" s="183" t="str">
        <f>'OKR '!D62</f>
        <v>Definir uma rede de apoio pós-treinamentos.</v>
      </c>
      <c r="C38" s="183" t="str">
        <f>'OKR '!E62</f>
        <v>Grupo de Trabalho</v>
      </c>
      <c r="D38" s="184"/>
      <c r="E38" s="185">
        <f>'OKR '!G62</f>
        <v>46235</v>
      </c>
      <c r="F38" s="185">
        <f>'OKR '!H62</f>
        <v>46325</v>
      </c>
      <c r="G38" s="14"/>
      <c r="H38" s="14">
        <f t="shared" ca="1" si="332"/>
        <v>91</v>
      </c>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c r="GG38" s="31"/>
      <c r="GH38" s="31"/>
      <c r="GI38" s="31"/>
      <c r="GJ38" s="31"/>
      <c r="GK38" s="31"/>
      <c r="GL38" s="31"/>
      <c r="GM38" s="31"/>
      <c r="GN38" s="31"/>
      <c r="GO38" s="31"/>
      <c r="GP38" s="31"/>
      <c r="GQ38" s="31"/>
      <c r="GR38" s="31"/>
      <c r="GS38" s="31"/>
      <c r="GT38" s="31"/>
      <c r="GU38" s="31"/>
      <c r="GV38" s="31"/>
      <c r="GW38" s="31"/>
      <c r="GX38" s="31"/>
      <c r="GY38" s="31"/>
      <c r="GZ38" s="31"/>
      <c r="HA38" s="31"/>
      <c r="HB38" s="31"/>
      <c r="HC38" s="31"/>
      <c r="HD38" s="31"/>
      <c r="HE38" s="31"/>
      <c r="HF38" s="31"/>
      <c r="HG38" s="31"/>
      <c r="HH38" s="31"/>
      <c r="HI38" s="31"/>
      <c r="HJ38" s="31"/>
      <c r="HK38" s="31"/>
      <c r="HL38" s="31"/>
      <c r="HM38" s="31"/>
      <c r="HN38" s="31"/>
      <c r="HO38" s="31"/>
      <c r="HP38" s="31"/>
      <c r="HQ38" s="31"/>
      <c r="HR38" s="31"/>
      <c r="HS38" s="31"/>
      <c r="HT38" s="31"/>
      <c r="HU38" s="31"/>
      <c r="HV38" s="31"/>
      <c r="HW38" s="31"/>
      <c r="HX38" s="31"/>
      <c r="HY38" s="31"/>
      <c r="HZ38" s="31"/>
      <c r="IA38" s="31"/>
      <c r="IB38" s="31"/>
      <c r="IC38" s="31"/>
      <c r="ID38" s="31"/>
      <c r="IE38" s="31"/>
      <c r="IF38" s="31"/>
      <c r="IG38" s="31"/>
      <c r="IH38" s="31"/>
      <c r="II38" s="31"/>
      <c r="IJ38" s="31"/>
      <c r="IK38" s="31"/>
      <c r="IL38" s="31"/>
      <c r="IM38" s="31"/>
      <c r="IN38" s="31"/>
      <c r="IO38" s="31"/>
      <c r="IP38" s="31"/>
      <c r="IQ38" s="31"/>
      <c r="IR38" s="31"/>
      <c r="IS38" s="31"/>
      <c r="IT38" s="31"/>
      <c r="IU38" s="31"/>
      <c r="IV38" s="31"/>
      <c r="IW38" s="31"/>
      <c r="IX38" s="31"/>
      <c r="IY38" s="31"/>
      <c r="IZ38" s="31"/>
      <c r="JA38" s="31"/>
      <c r="JB38" s="31"/>
      <c r="JC38" s="31"/>
      <c r="JD38" s="31"/>
      <c r="JE38" s="31"/>
      <c r="JF38" s="31"/>
      <c r="JG38" s="31"/>
      <c r="JH38" s="31"/>
      <c r="JI38" s="31"/>
      <c r="JJ38" s="31"/>
      <c r="JK38" s="31"/>
      <c r="JL38" s="31"/>
      <c r="JM38" s="31"/>
      <c r="JN38" s="31"/>
      <c r="JO38" s="31"/>
      <c r="JP38" s="31"/>
      <c r="JQ38" s="31"/>
      <c r="JR38" s="31"/>
      <c r="JS38" s="31"/>
      <c r="JT38" s="31"/>
      <c r="JU38" s="31"/>
      <c r="JV38" s="31"/>
      <c r="JW38" s="31"/>
      <c r="JX38" s="31"/>
      <c r="JY38" s="31"/>
      <c r="JZ38" s="31"/>
      <c r="KA38" s="31"/>
      <c r="KB38" s="31"/>
      <c r="KC38" s="31"/>
      <c r="KD38" s="31"/>
      <c r="KE38" s="31"/>
      <c r="KF38" s="31"/>
      <c r="KG38" s="31"/>
      <c r="KH38" s="31"/>
      <c r="KI38" s="31"/>
      <c r="KJ38" s="31"/>
      <c r="KK38" s="31"/>
      <c r="KL38" s="31"/>
      <c r="KM38" s="31"/>
      <c r="KN38" s="31"/>
      <c r="KO38" s="31"/>
      <c r="KP38" s="31"/>
      <c r="KQ38" s="31"/>
      <c r="KR38" s="31"/>
      <c r="KS38" s="31"/>
      <c r="KT38" s="31"/>
      <c r="KU38" s="31"/>
      <c r="KV38" s="31"/>
      <c r="KW38" s="31"/>
      <c r="KX38" s="31"/>
      <c r="KY38" s="31"/>
      <c r="KZ38" s="31"/>
      <c r="LA38" s="31"/>
      <c r="LB38" s="31"/>
      <c r="LC38" s="31"/>
      <c r="LD38" s="31"/>
      <c r="LE38" s="31"/>
      <c r="LF38" s="31"/>
      <c r="LG38" s="31"/>
      <c r="LH38" s="31"/>
      <c r="LI38" s="31"/>
      <c r="LJ38" s="31"/>
      <c r="LK38" s="31"/>
      <c r="LL38" s="31"/>
      <c r="LM38" s="31"/>
      <c r="LN38" s="31"/>
      <c r="LO38" s="31"/>
      <c r="LP38" s="31"/>
      <c r="LQ38" s="31"/>
      <c r="LR38" s="31"/>
      <c r="LS38" s="31"/>
      <c r="LT38" s="31"/>
      <c r="LU38" s="31"/>
      <c r="LV38" s="31"/>
      <c r="LW38" s="31"/>
      <c r="LX38" s="31"/>
      <c r="LY38" s="31"/>
      <c r="LZ38" s="31"/>
      <c r="MA38" s="31"/>
      <c r="MB38" s="31"/>
      <c r="MC38" s="31"/>
      <c r="MD38" s="31"/>
      <c r="ME38" s="31"/>
      <c r="MF38" s="31"/>
    </row>
    <row r="39" spans="1:344" s="3" customFormat="1" ht="15" hidden="1" customHeight="1">
      <c r="A39" s="45"/>
      <c r="B39" s="120">
        <f>'OKR '!D63</f>
        <v>0</v>
      </c>
      <c r="C39" s="120">
        <f>'OKR '!E63</f>
        <v>0</v>
      </c>
      <c r="D39" s="90"/>
      <c r="E39" s="78">
        <f>'OKR '!G63</f>
        <v>0</v>
      </c>
      <c r="F39" s="78">
        <f>'OKR '!H63</f>
        <v>0</v>
      </c>
      <c r="G39" s="14"/>
      <c r="H39" s="14"/>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c r="GG39" s="31"/>
      <c r="GH39" s="31"/>
      <c r="GI39" s="31"/>
      <c r="GJ39" s="31"/>
      <c r="GK39" s="31"/>
      <c r="GL39" s="31"/>
      <c r="GM39" s="31"/>
      <c r="GN39" s="31"/>
      <c r="GO39" s="31"/>
      <c r="GP39" s="31"/>
      <c r="GQ39" s="31"/>
      <c r="GR39" s="31"/>
      <c r="GS39" s="31"/>
      <c r="GT39" s="31"/>
      <c r="GU39" s="31"/>
      <c r="GV39" s="31"/>
      <c r="GW39" s="31"/>
      <c r="GX39" s="31"/>
      <c r="GY39" s="31"/>
      <c r="GZ39" s="31"/>
      <c r="HA39" s="31"/>
      <c r="HB39" s="31"/>
      <c r="HC39" s="31"/>
      <c r="HD39" s="31"/>
      <c r="HE39" s="31"/>
      <c r="HF39" s="31"/>
      <c r="HG39" s="31"/>
      <c r="HH39" s="31"/>
      <c r="HI39" s="31"/>
      <c r="HJ39" s="31"/>
      <c r="HK39" s="31"/>
      <c r="HL39" s="31"/>
      <c r="HM39" s="31"/>
      <c r="HN39" s="31"/>
      <c r="HO39" s="31"/>
      <c r="HP39" s="31"/>
      <c r="HQ39" s="31"/>
      <c r="HR39" s="31"/>
      <c r="HS39" s="31"/>
      <c r="HT39" s="31"/>
      <c r="HU39" s="31"/>
      <c r="HV39" s="31"/>
      <c r="HW39" s="31"/>
      <c r="HX39" s="31"/>
      <c r="HY39" s="31"/>
      <c r="HZ39" s="31"/>
      <c r="IA39" s="31"/>
      <c r="IB39" s="31"/>
      <c r="IC39" s="31"/>
      <c r="ID39" s="31"/>
      <c r="IE39" s="31"/>
      <c r="IF39" s="31"/>
      <c r="IG39" s="31"/>
      <c r="IH39" s="31"/>
      <c r="II39" s="31"/>
      <c r="IJ39" s="31"/>
      <c r="IK39" s="31"/>
      <c r="IL39" s="31"/>
      <c r="IM39" s="31"/>
      <c r="IN39" s="31"/>
      <c r="IO39" s="31"/>
      <c r="IP39" s="31"/>
      <c r="IQ39" s="31"/>
      <c r="IR39" s="31"/>
      <c r="IS39" s="31"/>
      <c r="IT39" s="31"/>
      <c r="IU39" s="31"/>
      <c r="IV39" s="31"/>
      <c r="IW39" s="31"/>
      <c r="IX39" s="31"/>
      <c r="IY39" s="31"/>
      <c r="IZ39" s="31"/>
      <c r="JA39" s="31"/>
      <c r="JB39" s="31"/>
      <c r="JC39" s="31"/>
      <c r="JD39" s="31"/>
      <c r="JE39" s="31"/>
      <c r="JF39" s="31"/>
      <c r="JG39" s="31"/>
      <c r="JH39" s="31"/>
      <c r="JI39" s="31"/>
      <c r="JJ39" s="31"/>
      <c r="JK39" s="31"/>
      <c r="JL39" s="31"/>
      <c r="JM39" s="31"/>
      <c r="JN39" s="31"/>
      <c r="JO39" s="31"/>
      <c r="JP39" s="31"/>
      <c r="JQ39" s="31"/>
      <c r="JR39" s="31"/>
      <c r="JS39" s="31"/>
      <c r="JT39" s="31"/>
      <c r="JU39" s="31"/>
      <c r="JV39" s="31"/>
      <c r="JW39" s="31"/>
      <c r="JX39" s="31"/>
      <c r="JY39" s="31"/>
      <c r="JZ39" s="31"/>
      <c r="KA39" s="31"/>
      <c r="KB39" s="31"/>
      <c r="KC39" s="31"/>
      <c r="KD39" s="31"/>
      <c r="KE39" s="31"/>
      <c r="KF39" s="31"/>
      <c r="KG39" s="31"/>
      <c r="KH39" s="31"/>
      <c r="KI39" s="31"/>
      <c r="KJ39" s="31"/>
      <c r="KK39" s="31"/>
      <c r="KL39" s="31"/>
      <c r="KM39" s="31"/>
      <c r="KN39" s="31"/>
      <c r="KO39" s="31"/>
      <c r="KP39" s="31"/>
      <c r="KQ39" s="31"/>
      <c r="KR39" s="31"/>
      <c r="KS39" s="31"/>
      <c r="KT39" s="31"/>
      <c r="KU39" s="31"/>
      <c r="KV39" s="31"/>
      <c r="KW39" s="31"/>
      <c r="KX39" s="31"/>
      <c r="KY39" s="31"/>
      <c r="KZ39" s="31"/>
      <c r="LA39" s="31"/>
      <c r="LB39" s="31"/>
      <c r="LC39" s="31"/>
      <c r="LD39" s="31"/>
      <c r="LE39" s="31"/>
      <c r="LF39" s="31"/>
      <c r="LG39" s="31"/>
      <c r="LH39" s="31"/>
      <c r="LI39" s="31"/>
      <c r="LJ39" s="31"/>
      <c r="LK39" s="31"/>
      <c r="LL39" s="31"/>
      <c r="LM39" s="31"/>
      <c r="LN39" s="31"/>
      <c r="LO39" s="31"/>
      <c r="LP39" s="31"/>
      <c r="LQ39" s="31"/>
      <c r="LR39" s="31"/>
      <c r="LS39" s="31"/>
      <c r="LT39" s="31"/>
      <c r="LU39" s="31"/>
      <c r="LV39" s="31"/>
      <c r="LW39" s="31"/>
      <c r="LX39" s="31"/>
      <c r="LY39" s="31"/>
      <c r="LZ39" s="31"/>
      <c r="MA39" s="31"/>
      <c r="MB39" s="31"/>
      <c r="MC39" s="31"/>
      <c r="MD39" s="31"/>
      <c r="ME39" s="31"/>
      <c r="MF39" s="31"/>
    </row>
    <row r="40" spans="1:344" s="3" customFormat="1" ht="15" hidden="1" customHeight="1">
      <c r="A40" s="45"/>
      <c r="B40" s="120">
        <f>'OKR '!D64</f>
        <v>0</v>
      </c>
      <c r="C40" s="120">
        <f>'OKR '!E64</f>
        <v>0</v>
      </c>
      <c r="D40" s="90"/>
      <c r="E40" s="78">
        <f>'OKR '!G64</f>
        <v>0</v>
      </c>
      <c r="F40" s="78">
        <f>'OKR '!H64</f>
        <v>0</v>
      </c>
      <c r="G40" s="14"/>
      <c r="H40" s="14"/>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1"/>
      <c r="DZ40" s="31"/>
      <c r="EA40" s="31"/>
      <c r="EB40" s="31"/>
      <c r="EC40" s="31"/>
      <c r="ED40" s="31"/>
      <c r="EE40" s="31"/>
      <c r="EF40" s="31"/>
      <c r="EG40" s="31"/>
      <c r="EH40" s="31"/>
      <c r="EI40" s="31"/>
      <c r="EJ40" s="31"/>
      <c r="EK40" s="31"/>
      <c r="EL40" s="31"/>
      <c r="EM40" s="31"/>
      <c r="EN40" s="31"/>
      <c r="EO40" s="31"/>
      <c r="EP40" s="31"/>
      <c r="EQ40" s="31"/>
      <c r="ER40" s="31"/>
      <c r="ES40" s="31"/>
      <c r="ET40" s="31"/>
      <c r="EU40" s="31"/>
      <c r="EV40" s="31"/>
      <c r="EW40" s="31"/>
      <c r="EX40" s="31"/>
      <c r="EY40" s="31"/>
      <c r="EZ40" s="31"/>
      <c r="FA40" s="31"/>
      <c r="FB40" s="31"/>
      <c r="FC40" s="31"/>
      <c r="FD40" s="31"/>
      <c r="FE40" s="31"/>
      <c r="FF40" s="31"/>
      <c r="FG40" s="31"/>
      <c r="FH40" s="31"/>
      <c r="FI40" s="31"/>
      <c r="FJ40" s="31"/>
      <c r="FK40" s="31"/>
      <c r="FL40" s="31"/>
      <c r="FM40" s="31"/>
      <c r="FN40" s="31"/>
      <c r="FO40" s="31"/>
      <c r="FP40" s="31"/>
      <c r="FQ40" s="31"/>
      <c r="FR40" s="31"/>
      <c r="FS40" s="31"/>
      <c r="FT40" s="31"/>
      <c r="FU40" s="31"/>
      <c r="FV40" s="31"/>
      <c r="FW40" s="31"/>
      <c r="FX40" s="31"/>
      <c r="FY40" s="31"/>
      <c r="FZ40" s="31"/>
      <c r="GA40" s="31"/>
      <c r="GB40" s="31"/>
      <c r="GC40" s="31"/>
      <c r="GD40" s="31"/>
      <c r="GE40" s="31"/>
      <c r="GF40" s="31"/>
      <c r="GG40" s="31"/>
      <c r="GH40" s="31"/>
      <c r="GI40" s="31"/>
      <c r="GJ40" s="31"/>
      <c r="GK40" s="31"/>
      <c r="GL40" s="31"/>
      <c r="GM40" s="31"/>
      <c r="GN40" s="31"/>
      <c r="GO40" s="31"/>
      <c r="GP40" s="31"/>
      <c r="GQ40" s="31"/>
      <c r="GR40" s="31"/>
      <c r="GS40" s="31"/>
      <c r="GT40" s="31"/>
      <c r="GU40" s="31"/>
      <c r="GV40" s="31"/>
      <c r="GW40" s="31"/>
      <c r="GX40" s="31"/>
      <c r="GY40" s="31"/>
      <c r="GZ40" s="31"/>
      <c r="HA40" s="31"/>
      <c r="HB40" s="31"/>
      <c r="HC40" s="31"/>
      <c r="HD40" s="31"/>
      <c r="HE40" s="31"/>
      <c r="HF40" s="31"/>
      <c r="HG40" s="31"/>
      <c r="HH40" s="31"/>
      <c r="HI40" s="31"/>
      <c r="HJ40" s="31"/>
      <c r="HK40" s="31"/>
      <c r="HL40" s="31"/>
      <c r="HM40" s="31"/>
      <c r="HN40" s="31"/>
      <c r="HO40" s="31"/>
      <c r="HP40" s="31"/>
      <c r="HQ40" s="31"/>
      <c r="HR40" s="31"/>
      <c r="HS40" s="31"/>
      <c r="HT40" s="31"/>
      <c r="HU40" s="31"/>
      <c r="HV40" s="31"/>
      <c r="HW40" s="31"/>
      <c r="HX40" s="31"/>
      <c r="HY40" s="31"/>
      <c r="HZ40" s="31"/>
      <c r="IA40" s="31"/>
      <c r="IB40" s="31"/>
      <c r="IC40" s="31"/>
      <c r="ID40" s="31"/>
      <c r="IE40" s="31"/>
      <c r="IF40" s="31"/>
      <c r="IG40" s="31"/>
      <c r="IH40" s="31"/>
      <c r="II40" s="31"/>
      <c r="IJ40" s="31"/>
      <c r="IK40" s="31"/>
      <c r="IL40" s="31"/>
      <c r="IM40" s="31"/>
      <c r="IN40" s="31"/>
      <c r="IO40" s="31"/>
      <c r="IP40" s="31"/>
      <c r="IQ40" s="31"/>
      <c r="IR40" s="31"/>
      <c r="IS40" s="31"/>
      <c r="IT40" s="31"/>
      <c r="IU40" s="31"/>
      <c r="IV40" s="31"/>
      <c r="IW40" s="31"/>
      <c r="IX40" s="31"/>
      <c r="IY40" s="31"/>
      <c r="IZ40" s="31"/>
      <c r="JA40" s="31"/>
      <c r="JB40" s="31"/>
      <c r="JC40" s="31"/>
      <c r="JD40" s="31"/>
      <c r="JE40" s="31"/>
      <c r="JF40" s="31"/>
      <c r="JG40" s="31"/>
      <c r="JH40" s="31"/>
      <c r="JI40" s="31"/>
      <c r="JJ40" s="31"/>
      <c r="JK40" s="31"/>
      <c r="JL40" s="31"/>
      <c r="JM40" s="31"/>
      <c r="JN40" s="31"/>
      <c r="JO40" s="31"/>
      <c r="JP40" s="31"/>
      <c r="JQ40" s="31"/>
      <c r="JR40" s="31"/>
      <c r="JS40" s="31"/>
      <c r="JT40" s="31"/>
      <c r="JU40" s="31"/>
      <c r="JV40" s="31"/>
      <c r="JW40" s="31"/>
      <c r="JX40" s="31"/>
      <c r="JY40" s="31"/>
      <c r="JZ40" s="31"/>
      <c r="KA40" s="31"/>
      <c r="KB40" s="31"/>
      <c r="KC40" s="31"/>
      <c r="KD40" s="31"/>
      <c r="KE40" s="31"/>
      <c r="KF40" s="31"/>
      <c r="KG40" s="31"/>
      <c r="KH40" s="31"/>
      <c r="KI40" s="31"/>
      <c r="KJ40" s="31"/>
      <c r="KK40" s="31"/>
      <c r="KL40" s="31"/>
      <c r="KM40" s="31"/>
      <c r="KN40" s="31"/>
      <c r="KO40" s="31"/>
      <c r="KP40" s="31"/>
      <c r="KQ40" s="31"/>
      <c r="KR40" s="31"/>
      <c r="KS40" s="31"/>
      <c r="KT40" s="31"/>
      <c r="KU40" s="31"/>
      <c r="KV40" s="31"/>
      <c r="KW40" s="31"/>
      <c r="KX40" s="31"/>
      <c r="KY40" s="31"/>
      <c r="KZ40" s="31"/>
      <c r="LA40" s="31"/>
      <c r="LB40" s="31"/>
      <c r="LC40" s="31"/>
      <c r="LD40" s="31"/>
      <c r="LE40" s="31"/>
      <c r="LF40" s="31"/>
      <c r="LG40" s="31"/>
      <c r="LH40" s="31"/>
      <c r="LI40" s="31"/>
      <c r="LJ40" s="31"/>
      <c r="LK40" s="31"/>
      <c r="LL40" s="31"/>
      <c r="LM40" s="31"/>
      <c r="LN40" s="31"/>
      <c r="LO40" s="31"/>
      <c r="LP40" s="31"/>
      <c r="LQ40" s="31"/>
      <c r="LR40" s="31"/>
      <c r="LS40" s="31"/>
      <c r="LT40" s="31"/>
      <c r="LU40" s="31"/>
      <c r="LV40" s="31"/>
      <c r="LW40" s="31"/>
      <c r="LX40" s="31"/>
      <c r="LY40" s="31"/>
      <c r="LZ40" s="31"/>
      <c r="MA40" s="31"/>
      <c r="MB40" s="31"/>
      <c r="MC40" s="31"/>
      <c r="MD40" s="31"/>
      <c r="ME40" s="31"/>
      <c r="MF40" s="31"/>
    </row>
    <row r="41" spans="1:344" s="3" customFormat="1" ht="15" hidden="1" customHeight="1">
      <c r="A41" s="45"/>
      <c r="B41" s="120">
        <f>'OKR '!D65</f>
        <v>0</v>
      </c>
      <c r="C41" s="120">
        <f>'OKR '!E65</f>
        <v>0</v>
      </c>
      <c r="D41" s="90"/>
      <c r="E41" s="78">
        <f>'OKR '!G65</f>
        <v>0</v>
      </c>
      <c r="F41" s="78">
        <f>'OKR '!H65</f>
        <v>0</v>
      </c>
      <c r="G41" s="14"/>
      <c r="H41" s="14"/>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c r="GG41" s="31"/>
      <c r="GH41" s="31"/>
      <c r="GI41" s="31"/>
      <c r="GJ41" s="31"/>
      <c r="GK41" s="31"/>
      <c r="GL41" s="31"/>
      <c r="GM41" s="31"/>
      <c r="GN41" s="31"/>
      <c r="GO41" s="31"/>
      <c r="GP41" s="31"/>
      <c r="GQ41" s="31"/>
      <c r="GR41" s="31"/>
      <c r="GS41" s="31"/>
      <c r="GT41" s="31"/>
      <c r="GU41" s="31"/>
      <c r="GV41" s="31"/>
      <c r="GW41" s="31"/>
      <c r="GX41" s="31"/>
      <c r="GY41" s="31"/>
      <c r="GZ41" s="31"/>
      <c r="HA41" s="31"/>
      <c r="HB41" s="31"/>
      <c r="HC41" s="31"/>
      <c r="HD41" s="31"/>
      <c r="HE41" s="31"/>
      <c r="HF41" s="31"/>
      <c r="HG41" s="31"/>
      <c r="HH41" s="31"/>
      <c r="HI41" s="31"/>
      <c r="HJ41" s="31"/>
      <c r="HK41" s="31"/>
      <c r="HL41" s="31"/>
      <c r="HM41" s="31"/>
      <c r="HN41" s="31"/>
      <c r="HO41" s="31"/>
      <c r="HP41" s="31"/>
      <c r="HQ41" s="31"/>
      <c r="HR41" s="31"/>
      <c r="HS41" s="31"/>
      <c r="HT41" s="31"/>
      <c r="HU41" s="31"/>
      <c r="HV41" s="31"/>
      <c r="HW41" s="31"/>
      <c r="HX41" s="31"/>
      <c r="HY41" s="31"/>
      <c r="HZ41" s="31"/>
      <c r="IA41" s="31"/>
      <c r="IB41" s="31"/>
      <c r="IC41" s="31"/>
      <c r="ID41" s="31"/>
      <c r="IE41" s="31"/>
      <c r="IF41" s="31"/>
      <c r="IG41" s="31"/>
      <c r="IH41" s="31"/>
      <c r="II41" s="31"/>
      <c r="IJ41" s="31"/>
      <c r="IK41" s="31"/>
      <c r="IL41" s="31"/>
      <c r="IM41" s="31"/>
      <c r="IN41" s="31"/>
      <c r="IO41" s="31"/>
      <c r="IP41" s="31"/>
      <c r="IQ41" s="31"/>
      <c r="IR41" s="31"/>
      <c r="IS41" s="31"/>
      <c r="IT41" s="31"/>
      <c r="IU41" s="31"/>
      <c r="IV41" s="31"/>
      <c r="IW41" s="31"/>
      <c r="IX41" s="31"/>
      <c r="IY41" s="31"/>
      <c r="IZ41" s="31"/>
      <c r="JA41" s="31"/>
      <c r="JB41" s="31"/>
      <c r="JC41" s="31"/>
      <c r="JD41" s="31"/>
      <c r="JE41" s="31"/>
      <c r="JF41" s="31"/>
      <c r="JG41" s="31"/>
      <c r="JH41" s="31"/>
      <c r="JI41" s="31"/>
      <c r="JJ41" s="31"/>
      <c r="JK41" s="31"/>
      <c r="JL41" s="31"/>
      <c r="JM41" s="31"/>
      <c r="JN41" s="31"/>
      <c r="JO41" s="31"/>
      <c r="JP41" s="31"/>
      <c r="JQ41" s="31"/>
      <c r="JR41" s="31"/>
      <c r="JS41" s="31"/>
      <c r="JT41" s="31"/>
      <c r="JU41" s="31"/>
      <c r="JV41" s="31"/>
      <c r="JW41" s="31"/>
      <c r="JX41" s="31"/>
      <c r="JY41" s="31"/>
      <c r="JZ41" s="31"/>
      <c r="KA41" s="31"/>
      <c r="KB41" s="31"/>
      <c r="KC41" s="31"/>
      <c r="KD41" s="31"/>
      <c r="KE41" s="31"/>
      <c r="KF41" s="31"/>
      <c r="KG41" s="31"/>
      <c r="KH41" s="31"/>
      <c r="KI41" s="31"/>
      <c r="KJ41" s="31"/>
      <c r="KK41" s="31"/>
      <c r="KL41" s="31"/>
      <c r="KM41" s="31"/>
      <c r="KN41" s="31"/>
      <c r="KO41" s="31"/>
      <c r="KP41" s="31"/>
      <c r="KQ41" s="31"/>
      <c r="KR41" s="31"/>
      <c r="KS41" s="31"/>
      <c r="KT41" s="31"/>
      <c r="KU41" s="31"/>
      <c r="KV41" s="31"/>
      <c r="KW41" s="31"/>
      <c r="KX41" s="31"/>
      <c r="KY41" s="31"/>
      <c r="KZ41" s="31"/>
      <c r="LA41" s="31"/>
      <c r="LB41" s="31"/>
      <c r="LC41" s="31"/>
      <c r="LD41" s="31"/>
      <c r="LE41" s="31"/>
      <c r="LF41" s="31"/>
      <c r="LG41" s="31"/>
      <c r="LH41" s="31"/>
      <c r="LI41" s="31"/>
      <c r="LJ41" s="31"/>
      <c r="LK41" s="31"/>
      <c r="LL41" s="31"/>
      <c r="LM41" s="31"/>
      <c r="LN41" s="31"/>
      <c r="LO41" s="31"/>
      <c r="LP41" s="31"/>
      <c r="LQ41" s="31"/>
      <c r="LR41" s="31"/>
      <c r="LS41" s="31"/>
      <c r="LT41" s="31"/>
      <c r="LU41" s="31"/>
      <c r="LV41" s="31"/>
      <c r="LW41" s="31"/>
      <c r="LX41" s="31"/>
      <c r="LY41" s="31"/>
      <c r="LZ41" s="31"/>
      <c r="MA41" s="31"/>
      <c r="MB41" s="31"/>
      <c r="MC41" s="31"/>
      <c r="MD41" s="31"/>
      <c r="ME41" s="31"/>
      <c r="MF41" s="31"/>
    </row>
    <row r="42" spans="1:344" s="3" customFormat="1" ht="15" hidden="1" customHeight="1">
      <c r="A42" s="45"/>
      <c r="B42" s="120">
        <f>'OKR '!D64</f>
        <v>0</v>
      </c>
      <c r="C42" s="120">
        <f>'OKR '!E64</f>
        <v>0</v>
      </c>
      <c r="D42" s="90"/>
      <c r="E42" s="78">
        <f>'OKR '!G64</f>
        <v>0</v>
      </c>
      <c r="F42" s="78">
        <f>'OKR '!H64</f>
        <v>0</v>
      </c>
      <c r="G42" s="14"/>
      <c r="H42" s="14"/>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c r="GG42" s="31"/>
      <c r="GH42" s="31"/>
      <c r="GI42" s="31"/>
      <c r="GJ42" s="31"/>
      <c r="GK42" s="31"/>
      <c r="GL42" s="31"/>
      <c r="GM42" s="31"/>
      <c r="GN42" s="31"/>
      <c r="GO42" s="31"/>
      <c r="GP42" s="31"/>
      <c r="GQ42" s="31"/>
      <c r="GR42" s="31"/>
      <c r="GS42" s="31"/>
      <c r="GT42" s="31"/>
      <c r="GU42" s="31"/>
      <c r="GV42" s="31"/>
      <c r="GW42" s="31"/>
      <c r="GX42" s="31"/>
      <c r="GY42" s="31"/>
      <c r="GZ42" s="31"/>
      <c r="HA42" s="31"/>
      <c r="HB42" s="31"/>
      <c r="HC42" s="31"/>
      <c r="HD42" s="31"/>
      <c r="HE42" s="31"/>
      <c r="HF42" s="31"/>
      <c r="HG42" s="31"/>
      <c r="HH42" s="31"/>
      <c r="HI42" s="31"/>
      <c r="HJ42" s="31"/>
      <c r="HK42" s="31"/>
      <c r="HL42" s="31"/>
      <c r="HM42" s="31"/>
      <c r="HN42" s="31"/>
      <c r="HO42" s="31"/>
      <c r="HP42" s="31"/>
      <c r="HQ42" s="31"/>
      <c r="HR42" s="31"/>
      <c r="HS42" s="31"/>
      <c r="HT42" s="31"/>
      <c r="HU42" s="31"/>
      <c r="HV42" s="31"/>
      <c r="HW42" s="31"/>
      <c r="HX42" s="31"/>
      <c r="HY42" s="31"/>
      <c r="HZ42" s="31"/>
      <c r="IA42" s="31"/>
      <c r="IB42" s="31"/>
      <c r="IC42" s="31"/>
      <c r="ID42" s="31"/>
      <c r="IE42" s="31"/>
      <c r="IF42" s="31"/>
      <c r="IG42" s="31"/>
      <c r="IH42" s="31"/>
      <c r="II42" s="31"/>
      <c r="IJ42" s="31"/>
      <c r="IK42" s="31"/>
      <c r="IL42" s="31"/>
      <c r="IM42" s="31"/>
      <c r="IN42" s="31"/>
      <c r="IO42" s="31"/>
      <c r="IP42" s="31"/>
      <c r="IQ42" s="31"/>
      <c r="IR42" s="31"/>
      <c r="IS42" s="31"/>
      <c r="IT42" s="31"/>
      <c r="IU42" s="31"/>
      <c r="IV42" s="31"/>
      <c r="IW42" s="31"/>
      <c r="IX42" s="31"/>
      <c r="IY42" s="31"/>
      <c r="IZ42" s="31"/>
      <c r="JA42" s="31"/>
      <c r="JB42" s="31"/>
      <c r="JC42" s="31"/>
      <c r="JD42" s="31"/>
      <c r="JE42" s="31"/>
      <c r="JF42" s="31"/>
      <c r="JG42" s="31"/>
      <c r="JH42" s="31"/>
      <c r="JI42" s="31"/>
      <c r="JJ42" s="31"/>
      <c r="JK42" s="31"/>
      <c r="JL42" s="31"/>
      <c r="JM42" s="31"/>
      <c r="JN42" s="31"/>
      <c r="JO42" s="31"/>
      <c r="JP42" s="31"/>
      <c r="JQ42" s="31"/>
      <c r="JR42" s="31"/>
      <c r="JS42" s="31"/>
      <c r="JT42" s="31"/>
      <c r="JU42" s="31"/>
      <c r="JV42" s="31"/>
      <c r="JW42" s="31"/>
      <c r="JX42" s="31"/>
      <c r="JY42" s="31"/>
      <c r="JZ42" s="31"/>
      <c r="KA42" s="31"/>
      <c r="KB42" s="31"/>
      <c r="KC42" s="31"/>
      <c r="KD42" s="31"/>
      <c r="KE42" s="31"/>
      <c r="KF42" s="31"/>
      <c r="KG42" s="31"/>
      <c r="KH42" s="31"/>
      <c r="KI42" s="31"/>
      <c r="KJ42" s="31"/>
      <c r="KK42" s="31"/>
      <c r="KL42" s="31"/>
      <c r="KM42" s="31"/>
      <c r="KN42" s="31"/>
      <c r="KO42" s="31"/>
      <c r="KP42" s="31"/>
      <c r="KQ42" s="31"/>
      <c r="KR42" s="31"/>
      <c r="KS42" s="31"/>
      <c r="KT42" s="31"/>
      <c r="KU42" s="31"/>
      <c r="KV42" s="31"/>
      <c r="KW42" s="31"/>
      <c r="KX42" s="31"/>
      <c r="KY42" s="31"/>
      <c r="KZ42" s="31"/>
      <c r="LA42" s="31"/>
      <c r="LB42" s="31"/>
      <c r="LC42" s="31"/>
      <c r="LD42" s="31"/>
      <c r="LE42" s="31"/>
      <c r="LF42" s="31"/>
      <c r="LG42" s="31"/>
      <c r="LH42" s="31"/>
      <c r="LI42" s="31"/>
      <c r="LJ42" s="31"/>
      <c r="LK42" s="31"/>
      <c r="LL42" s="31"/>
      <c r="LM42" s="31"/>
      <c r="LN42" s="31"/>
      <c r="LO42" s="31"/>
      <c r="LP42" s="31"/>
      <c r="LQ42" s="31"/>
      <c r="LR42" s="31"/>
      <c r="LS42" s="31"/>
      <c r="LT42" s="31"/>
      <c r="LU42" s="31"/>
      <c r="LV42" s="31"/>
      <c r="LW42" s="31"/>
      <c r="LX42" s="31"/>
      <c r="LY42" s="31"/>
      <c r="LZ42" s="31"/>
      <c r="MA42" s="31"/>
      <c r="MB42" s="31"/>
      <c r="MC42" s="31"/>
      <c r="MD42" s="31"/>
      <c r="ME42" s="31"/>
      <c r="MF42" s="31"/>
    </row>
    <row r="43" spans="1:344" s="3" customFormat="1" ht="15" hidden="1" customHeight="1">
      <c r="A43" s="45"/>
      <c r="B43" s="120">
        <f>'OKR '!D65</f>
        <v>0</v>
      </c>
      <c r="C43" s="120">
        <f>'OKR '!E65</f>
        <v>0</v>
      </c>
      <c r="D43" s="90"/>
      <c r="E43" s="78">
        <f>'OKR '!G65</f>
        <v>0</v>
      </c>
      <c r="F43" s="78">
        <f>'OKR '!H65</f>
        <v>0</v>
      </c>
      <c r="G43" s="14"/>
      <c r="H43" s="14"/>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c r="GG43" s="31"/>
      <c r="GH43" s="31"/>
      <c r="GI43" s="31"/>
      <c r="GJ43" s="31"/>
      <c r="GK43" s="31"/>
      <c r="GL43" s="31"/>
      <c r="GM43" s="31"/>
      <c r="GN43" s="31"/>
      <c r="GO43" s="31"/>
      <c r="GP43" s="31"/>
      <c r="GQ43" s="31"/>
      <c r="GR43" s="31"/>
      <c r="GS43" s="31"/>
      <c r="GT43" s="31"/>
      <c r="GU43" s="31"/>
      <c r="GV43" s="31"/>
      <c r="GW43" s="31"/>
      <c r="GX43" s="31"/>
      <c r="GY43" s="31"/>
      <c r="GZ43" s="31"/>
      <c r="HA43" s="31"/>
      <c r="HB43" s="31"/>
      <c r="HC43" s="31"/>
      <c r="HD43" s="31"/>
      <c r="HE43" s="31"/>
      <c r="HF43" s="31"/>
      <c r="HG43" s="31"/>
      <c r="HH43" s="31"/>
      <c r="HI43" s="31"/>
      <c r="HJ43" s="31"/>
      <c r="HK43" s="31"/>
      <c r="HL43" s="31"/>
      <c r="HM43" s="31"/>
      <c r="HN43" s="31"/>
      <c r="HO43" s="31"/>
      <c r="HP43" s="31"/>
      <c r="HQ43" s="31"/>
      <c r="HR43" s="31"/>
      <c r="HS43" s="31"/>
      <c r="HT43" s="31"/>
      <c r="HU43" s="31"/>
      <c r="HV43" s="31"/>
      <c r="HW43" s="31"/>
      <c r="HX43" s="31"/>
      <c r="HY43" s="31"/>
      <c r="HZ43" s="31"/>
      <c r="IA43" s="31"/>
      <c r="IB43" s="31"/>
      <c r="IC43" s="31"/>
      <c r="ID43" s="31"/>
      <c r="IE43" s="31"/>
      <c r="IF43" s="31"/>
      <c r="IG43" s="31"/>
      <c r="IH43" s="31"/>
      <c r="II43" s="31"/>
      <c r="IJ43" s="31"/>
      <c r="IK43" s="31"/>
      <c r="IL43" s="31"/>
      <c r="IM43" s="31"/>
      <c r="IN43" s="31"/>
      <c r="IO43" s="31"/>
      <c r="IP43" s="31"/>
      <c r="IQ43" s="31"/>
      <c r="IR43" s="31"/>
      <c r="IS43" s="31"/>
      <c r="IT43" s="31"/>
      <c r="IU43" s="31"/>
      <c r="IV43" s="31"/>
      <c r="IW43" s="31"/>
      <c r="IX43" s="31"/>
      <c r="IY43" s="31"/>
      <c r="IZ43" s="31"/>
      <c r="JA43" s="31"/>
      <c r="JB43" s="31"/>
      <c r="JC43" s="31"/>
      <c r="JD43" s="31"/>
      <c r="JE43" s="31"/>
      <c r="JF43" s="31"/>
      <c r="JG43" s="31"/>
      <c r="JH43" s="31"/>
      <c r="JI43" s="31"/>
      <c r="JJ43" s="31"/>
      <c r="JK43" s="31"/>
      <c r="JL43" s="31"/>
      <c r="JM43" s="31"/>
      <c r="JN43" s="31"/>
      <c r="JO43" s="31"/>
      <c r="JP43" s="31"/>
      <c r="JQ43" s="31"/>
      <c r="JR43" s="31"/>
      <c r="JS43" s="31"/>
      <c r="JT43" s="31"/>
      <c r="JU43" s="31"/>
      <c r="JV43" s="31"/>
      <c r="JW43" s="31"/>
      <c r="JX43" s="31"/>
      <c r="JY43" s="31"/>
      <c r="JZ43" s="31"/>
      <c r="KA43" s="31"/>
      <c r="KB43" s="31"/>
      <c r="KC43" s="31"/>
      <c r="KD43" s="31"/>
      <c r="KE43" s="31"/>
      <c r="KF43" s="31"/>
      <c r="KG43" s="31"/>
      <c r="KH43" s="31"/>
      <c r="KI43" s="31"/>
      <c r="KJ43" s="31"/>
      <c r="KK43" s="31"/>
      <c r="KL43" s="31"/>
      <c r="KM43" s="31"/>
      <c r="KN43" s="31"/>
      <c r="KO43" s="31"/>
      <c r="KP43" s="31"/>
      <c r="KQ43" s="31"/>
      <c r="KR43" s="31"/>
      <c r="KS43" s="31"/>
      <c r="KT43" s="31"/>
      <c r="KU43" s="31"/>
      <c r="KV43" s="31"/>
      <c r="KW43" s="31"/>
      <c r="KX43" s="31"/>
      <c r="KY43" s="31"/>
      <c r="KZ43" s="31"/>
      <c r="LA43" s="31"/>
      <c r="LB43" s="31"/>
      <c r="LC43" s="31"/>
      <c r="LD43" s="31"/>
      <c r="LE43" s="31"/>
      <c r="LF43" s="31"/>
      <c r="LG43" s="31"/>
      <c r="LH43" s="31"/>
      <c r="LI43" s="31"/>
      <c r="LJ43" s="31"/>
      <c r="LK43" s="31"/>
      <c r="LL43" s="31"/>
      <c r="LM43" s="31"/>
      <c r="LN43" s="31"/>
      <c r="LO43" s="31"/>
      <c r="LP43" s="31"/>
      <c r="LQ43" s="31"/>
      <c r="LR43" s="31"/>
      <c r="LS43" s="31"/>
      <c r="LT43" s="31"/>
      <c r="LU43" s="31"/>
      <c r="LV43" s="31"/>
      <c r="LW43" s="31"/>
      <c r="LX43" s="31"/>
      <c r="LY43" s="31"/>
      <c r="LZ43" s="31"/>
      <c r="MA43" s="31"/>
      <c r="MB43" s="31"/>
      <c r="MC43" s="31"/>
      <c r="MD43" s="31"/>
      <c r="ME43" s="31"/>
      <c r="MF43" s="31"/>
    </row>
    <row r="44" spans="1:344" s="3" customFormat="1" ht="15" hidden="1" customHeight="1">
      <c r="A44" s="45"/>
      <c r="B44" s="120">
        <f>'OKR '!D66</f>
        <v>0</v>
      </c>
      <c r="C44" s="120">
        <f>'OKR '!E66</f>
        <v>0</v>
      </c>
      <c r="D44" s="90"/>
      <c r="E44" s="78">
        <f>'OKR '!G66</f>
        <v>0</v>
      </c>
      <c r="F44" s="78">
        <f>'OKR '!H66</f>
        <v>0</v>
      </c>
      <c r="G44" s="14"/>
      <c r="H44" s="14"/>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c r="GG44" s="31"/>
      <c r="GH44" s="31"/>
      <c r="GI44" s="31"/>
      <c r="GJ44" s="31"/>
      <c r="GK44" s="31"/>
      <c r="GL44" s="31"/>
      <c r="GM44" s="31"/>
      <c r="GN44" s="31"/>
      <c r="GO44" s="31"/>
      <c r="GP44" s="31"/>
      <c r="GQ44" s="31"/>
      <c r="GR44" s="31"/>
      <c r="GS44" s="31"/>
      <c r="GT44" s="31"/>
      <c r="GU44" s="31"/>
      <c r="GV44" s="31"/>
      <c r="GW44" s="31"/>
      <c r="GX44" s="31"/>
      <c r="GY44" s="31"/>
      <c r="GZ44" s="31"/>
      <c r="HA44" s="31"/>
      <c r="HB44" s="31"/>
      <c r="HC44" s="31"/>
      <c r="HD44" s="31"/>
      <c r="HE44" s="31"/>
      <c r="HF44" s="31"/>
      <c r="HG44" s="31"/>
      <c r="HH44" s="31"/>
      <c r="HI44" s="31"/>
      <c r="HJ44" s="31"/>
      <c r="HK44" s="31"/>
      <c r="HL44" s="31"/>
      <c r="HM44" s="31"/>
      <c r="HN44" s="31"/>
      <c r="HO44" s="31"/>
      <c r="HP44" s="31"/>
      <c r="HQ44" s="31"/>
      <c r="HR44" s="31"/>
      <c r="HS44" s="31"/>
      <c r="HT44" s="31"/>
      <c r="HU44" s="31"/>
      <c r="HV44" s="31"/>
      <c r="HW44" s="31"/>
      <c r="HX44" s="31"/>
      <c r="HY44" s="31"/>
      <c r="HZ44" s="31"/>
      <c r="IA44" s="31"/>
      <c r="IB44" s="31"/>
      <c r="IC44" s="31"/>
      <c r="ID44" s="31"/>
      <c r="IE44" s="31"/>
      <c r="IF44" s="31"/>
      <c r="IG44" s="31"/>
      <c r="IH44" s="31"/>
      <c r="II44" s="31"/>
      <c r="IJ44" s="31"/>
      <c r="IK44" s="31"/>
      <c r="IL44" s="31"/>
      <c r="IM44" s="31"/>
      <c r="IN44" s="31"/>
      <c r="IO44" s="31"/>
      <c r="IP44" s="31"/>
      <c r="IQ44" s="31"/>
      <c r="IR44" s="31"/>
      <c r="IS44" s="31"/>
      <c r="IT44" s="31"/>
      <c r="IU44" s="31"/>
      <c r="IV44" s="31"/>
      <c r="IW44" s="31"/>
      <c r="IX44" s="31"/>
      <c r="IY44" s="31"/>
      <c r="IZ44" s="31"/>
      <c r="JA44" s="31"/>
      <c r="JB44" s="31"/>
      <c r="JC44" s="31"/>
      <c r="JD44" s="31"/>
      <c r="JE44" s="31"/>
      <c r="JF44" s="31"/>
      <c r="JG44" s="31"/>
      <c r="JH44" s="31"/>
      <c r="JI44" s="31"/>
      <c r="JJ44" s="31"/>
      <c r="JK44" s="31"/>
      <c r="JL44" s="31"/>
      <c r="JM44" s="31"/>
      <c r="JN44" s="31"/>
      <c r="JO44" s="31"/>
      <c r="JP44" s="31"/>
      <c r="JQ44" s="31"/>
      <c r="JR44" s="31"/>
      <c r="JS44" s="31"/>
      <c r="JT44" s="31"/>
      <c r="JU44" s="31"/>
      <c r="JV44" s="31"/>
      <c r="JW44" s="31"/>
      <c r="JX44" s="31"/>
      <c r="JY44" s="31"/>
      <c r="JZ44" s="31"/>
      <c r="KA44" s="31"/>
      <c r="KB44" s="31"/>
      <c r="KC44" s="31"/>
      <c r="KD44" s="31"/>
      <c r="KE44" s="31"/>
      <c r="KF44" s="31"/>
      <c r="KG44" s="31"/>
      <c r="KH44" s="31"/>
      <c r="KI44" s="31"/>
      <c r="KJ44" s="31"/>
      <c r="KK44" s="31"/>
      <c r="KL44" s="31"/>
      <c r="KM44" s="31"/>
      <c r="KN44" s="31"/>
      <c r="KO44" s="31"/>
      <c r="KP44" s="31"/>
      <c r="KQ44" s="31"/>
      <c r="KR44" s="31"/>
      <c r="KS44" s="31"/>
      <c r="KT44" s="31"/>
      <c r="KU44" s="31"/>
      <c r="KV44" s="31"/>
      <c r="KW44" s="31"/>
      <c r="KX44" s="31"/>
      <c r="KY44" s="31"/>
      <c r="KZ44" s="31"/>
      <c r="LA44" s="31"/>
      <c r="LB44" s="31"/>
      <c r="LC44" s="31"/>
      <c r="LD44" s="31"/>
      <c r="LE44" s="31"/>
      <c r="LF44" s="31"/>
      <c r="LG44" s="31"/>
      <c r="LH44" s="31"/>
      <c r="LI44" s="31"/>
      <c r="LJ44" s="31"/>
      <c r="LK44" s="31"/>
      <c r="LL44" s="31"/>
      <c r="LM44" s="31"/>
      <c r="LN44" s="31"/>
      <c r="LO44" s="31"/>
      <c r="LP44" s="31"/>
      <c r="LQ44" s="31"/>
      <c r="LR44" s="31"/>
      <c r="LS44" s="31"/>
      <c r="LT44" s="31"/>
      <c r="LU44" s="31"/>
      <c r="LV44" s="31"/>
      <c r="LW44" s="31"/>
      <c r="LX44" s="31"/>
      <c r="LY44" s="31"/>
      <c r="LZ44" s="31"/>
      <c r="MA44" s="31"/>
      <c r="MB44" s="31"/>
      <c r="MC44" s="31"/>
      <c r="MD44" s="31"/>
      <c r="ME44" s="31"/>
      <c r="MF44" s="31"/>
    </row>
    <row r="45" spans="1:344" s="3" customFormat="1" ht="15" hidden="1" customHeight="1">
      <c r="A45" s="45"/>
      <c r="B45" s="120">
        <f>'OKR '!D67</f>
        <v>0</v>
      </c>
      <c r="C45" s="120">
        <f>'OKR '!E67</f>
        <v>0</v>
      </c>
      <c r="D45" s="90"/>
      <c r="E45" s="78">
        <f>'OKR '!G67</f>
        <v>0</v>
      </c>
      <c r="F45" s="78">
        <f>'OKR '!H67</f>
        <v>0</v>
      </c>
      <c r="G45" s="14"/>
      <c r="H45" s="14">
        <f t="shared" ca="1" si="332"/>
        <v>1</v>
      </c>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c r="EG45" s="31"/>
      <c r="EH45" s="31"/>
      <c r="EI45" s="31"/>
      <c r="EJ45" s="31"/>
      <c r="EK45" s="31"/>
      <c r="EL45" s="31"/>
      <c r="EM45" s="31"/>
      <c r="EN45" s="31"/>
      <c r="EO45" s="31"/>
      <c r="EP45" s="31"/>
      <c r="EQ45" s="31"/>
      <c r="ER45" s="31"/>
      <c r="ES45" s="31"/>
      <c r="ET45" s="31"/>
      <c r="EU45" s="31"/>
      <c r="EV45" s="31"/>
      <c r="EW45" s="31"/>
      <c r="EX45" s="31"/>
      <c r="EY45" s="31"/>
      <c r="EZ45" s="31"/>
      <c r="FA45" s="31"/>
      <c r="FB45" s="31"/>
      <c r="FC45" s="31"/>
      <c r="FD45" s="31"/>
      <c r="FE45" s="31"/>
      <c r="FF45" s="31"/>
      <c r="FG45" s="31"/>
      <c r="FH45" s="31"/>
      <c r="FI45" s="31"/>
      <c r="FJ45" s="31"/>
      <c r="FK45" s="31"/>
      <c r="FL45" s="31"/>
      <c r="FM45" s="31"/>
      <c r="FN45" s="31"/>
      <c r="FO45" s="31"/>
      <c r="FP45" s="31"/>
      <c r="FQ45" s="31"/>
      <c r="FR45" s="31"/>
      <c r="FS45" s="31"/>
      <c r="FT45" s="31"/>
      <c r="FU45" s="31"/>
      <c r="FV45" s="31"/>
      <c r="FW45" s="31"/>
      <c r="FX45" s="31"/>
      <c r="FY45" s="31"/>
      <c r="FZ45" s="31"/>
      <c r="GA45" s="31"/>
      <c r="GB45" s="31"/>
      <c r="GC45" s="31"/>
      <c r="GD45" s="31"/>
      <c r="GE45" s="31"/>
      <c r="GF45" s="31"/>
      <c r="GG45" s="31"/>
      <c r="GH45" s="31"/>
      <c r="GI45" s="31"/>
      <c r="GJ45" s="31"/>
      <c r="GK45" s="31"/>
      <c r="GL45" s="31"/>
      <c r="GM45" s="31"/>
      <c r="GN45" s="31"/>
      <c r="GO45" s="31"/>
      <c r="GP45" s="31"/>
      <c r="GQ45" s="31"/>
      <c r="GR45" s="31"/>
      <c r="GS45" s="31"/>
      <c r="GT45" s="31"/>
      <c r="GU45" s="31"/>
      <c r="GV45" s="31"/>
      <c r="GW45" s="31"/>
      <c r="GX45" s="31"/>
      <c r="GY45" s="31"/>
      <c r="GZ45" s="31"/>
      <c r="HA45" s="31"/>
      <c r="HB45" s="31"/>
      <c r="HC45" s="31"/>
      <c r="HD45" s="31"/>
      <c r="HE45" s="31"/>
      <c r="HF45" s="31"/>
      <c r="HG45" s="31"/>
      <c r="HH45" s="31"/>
      <c r="HI45" s="31"/>
      <c r="HJ45" s="31"/>
      <c r="HK45" s="31"/>
      <c r="HL45" s="31"/>
      <c r="HM45" s="31"/>
      <c r="HN45" s="31"/>
      <c r="HO45" s="31"/>
      <c r="HP45" s="31"/>
      <c r="HQ45" s="31"/>
      <c r="HR45" s="31"/>
      <c r="HS45" s="31"/>
      <c r="HT45" s="31"/>
      <c r="HU45" s="31"/>
      <c r="HV45" s="31"/>
      <c r="HW45" s="31"/>
      <c r="HX45" s="31"/>
      <c r="HY45" s="31"/>
      <c r="HZ45" s="31"/>
      <c r="IA45" s="31"/>
      <c r="IB45" s="31"/>
      <c r="IC45" s="31"/>
      <c r="ID45" s="31"/>
      <c r="IE45" s="31"/>
      <c r="IF45" s="31"/>
      <c r="IG45" s="31"/>
      <c r="IH45" s="31"/>
      <c r="II45" s="31"/>
      <c r="IJ45" s="31"/>
      <c r="IK45" s="31"/>
      <c r="IL45" s="31"/>
      <c r="IM45" s="31"/>
      <c r="IN45" s="31"/>
      <c r="IO45" s="31"/>
      <c r="IP45" s="31"/>
      <c r="IQ45" s="31"/>
      <c r="IR45" s="31"/>
      <c r="IS45" s="31"/>
      <c r="IT45" s="31"/>
      <c r="IU45" s="31"/>
      <c r="IV45" s="31"/>
      <c r="IW45" s="31"/>
      <c r="IX45" s="31"/>
      <c r="IY45" s="31"/>
      <c r="IZ45" s="31"/>
      <c r="JA45" s="31"/>
      <c r="JB45" s="31"/>
      <c r="JC45" s="31"/>
      <c r="JD45" s="31"/>
      <c r="JE45" s="31"/>
      <c r="JF45" s="31"/>
      <c r="JG45" s="31"/>
      <c r="JH45" s="31"/>
      <c r="JI45" s="31"/>
      <c r="JJ45" s="31"/>
      <c r="JK45" s="31"/>
      <c r="JL45" s="31"/>
      <c r="JM45" s="31"/>
      <c r="JN45" s="31"/>
      <c r="JO45" s="31"/>
      <c r="JP45" s="31"/>
      <c r="JQ45" s="31"/>
      <c r="JR45" s="31"/>
      <c r="JS45" s="31"/>
      <c r="JT45" s="31"/>
      <c r="JU45" s="31"/>
      <c r="JV45" s="31"/>
      <c r="JW45" s="31"/>
      <c r="JX45" s="31"/>
      <c r="JY45" s="31"/>
      <c r="JZ45" s="31"/>
      <c r="KA45" s="31"/>
      <c r="KB45" s="31"/>
      <c r="KC45" s="31"/>
      <c r="KD45" s="31"/>
      <c r="KE45" s="31"/>
      <c r="KF45" s="31"/>
      <c r="KG45" s="31"/>
      <c r="KH45" s="31"/>
      <c r="KI45" s="31"/>
      <c r="KJ45" s="31"/>
      <c r="KK45" s="31"/>
      <c r="KL45" s="31"/>
      <c r="KM45" s="31"/>
      <c r="KN45" s="31"/>
      <c r="KO45" s="31"/>
      <c r="KP45" s="31"/>
      <c r="KQ45" s="31"/>
      <c r="KR45" s="31"/>
      <c r="KS45" s="31"/>
      <c r="KT45" s="31"/>
      <c r="KU45" s="31"/>
      <c r="KV45" s="31"/>
      <c r="KW45" s="31"/>
      <c r="KX45" s="31"/>
      <c r="KY45" s="31"/>
      <c r="KZ45" s="31"/>
      <c r="LA45" s="31"/>
      <c r="LB45" s="31"/>
      <c r="LC45" s="31"/>
      <c r="LD45" s="31"/>
      <c r="LE45" s="31"/>
      <c r="LF45" s="31"/>
      <c r="LG45" s="31"/>
      <c r="LH45" s="31"/>
      <c r="LI45" s="31"/>
      <c r="LJ45" s="31"/>
      <c r="LK45" s="31"/>
      <c r="LL45" s="31"/>
      <c r="LM45" s="31"/>
      <c r="LN45" s="31"/>
      <c r="LO45" s="31"/>
      <c r="LP45" s="31"/>
      <c r="LQ45" s="31"/>
      <c r="LR45" s="31"/>
      <c r="LS45" s="31"/>
      <c r="LT45" s="31"/>
      <c r="LU45" s="31"/>
      <c r="LV45" s="31"/>
      <c r="LW45" s="31"/>
      <c r="LX45" s="31"/>
      <c r="LY45" s="31"/>
      <c r="LZ45" s="31"/>
      <c r="MA45" s="31"/>
      <c r="MB45" s="31"/>
      <c r="MC45" s="31"/>
      <c r="MD45" s="31"/>
      <c r="ME45" s="31"/>
      <c r="MF45" s="31"/>
    </row>
    <row r="46" spans="1:344" s="3" customFormat="1" ht="30" customHeight="1">
      <c r="A46" s="46" t="s">
        <v>160</v>
      </c>
      <c r="B46" s="201" t="str">
        <f>'OKR '!D75</f>
        <v xml:space="preserve"> Utilizar Telessaúde para otimizar e ampliar o acesso aos serviços do SUS</v>
      </c>
      <c r="C46" s="9"/>
      <c r="D46" s="9"/>
      <c r="E46" s="9"/>
      <c r="F46" s="9"/>
      <c r="G46" s="9"/>
      <c r="H46" s="9" t="s">
        <v>164</v>
      </c>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row>
    <row r="47" spans="1:344" s="3" customFormat="1" ht="15" hidden="1" customHeight="1">
      <c r="A47" s="45" t="s">
        <v>165</v>
      </c>
      <c r="B47"/>
      <c r="C47" s="48"/>
      <c r="D47"/>
      <c r="E47"/>
      <c r="F47"/>
      <c r="G47"/>
      <c r="H47" t="str">
        <f ca="1">IF(OR(ISBLANK(início_da_tarefa),ISBLANK(término_da_tarefa)),"",término_da_tarefa-início_da_tarefa+1)</f>
        <v/>
      </c>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c r="EG47" s="31"/>
      <c r="EH47" s="31"/>
      <c r="EI47" s="31"/>
      <c r="EJ47" s="31"/>
      <c r="EK47" s="31"/>
      <c r="EL47" s="31"/>
      <c r="EM47" s="31"/>
      <c r="EN47" s="31"/>
      <c r="EO47" s="31"/>
      <c r="EP47" s="31"/>
      <c r="EQ47" s="31"/>
      <c r="ER47" s="31"/>
      <c r="ES47" s="31"/>
      <c r="ET47" s="31"/>
      <c r="EU47" s="31"/>
      <c r="EV47" s="31"/>
      <c r="EW47" s="31"/>
      <c r="EX47" s="31"/>
      <c r="EY47" s="31"/>
      <c r="EZ47" s="31"/>
      <c r="FA47" s="31"/>
      <c r="FB47" s="31"/>
      <c r="FC47" s="31"/>
      <c r="FD47" s="31"/>
      <c r="FE47" s="31"/>
      <c r="FF47" s="31"/>
      <c r="FG47" s="31"/>
      <c r="FH47" s="31"/>
      <c r="FI47" s="31"/>
      <c r="FJ47" s="31"/>
      <c r="FK47" s="31"/>
      <c r="FL47" s="31"/>
      <c r="FM47" s="31"/>
      <c r="FN47" s="31"/>
      <c r="FO47" s="31"/>
      <c r="FP47" s="31"/>
      <c r="FQ47" s="31"/>
      <c r="FR47" s="31"/>
      <c r="FS47" s="31"/>
      <c r="FT47" s="31"/>
      <c r="FU47" s="31"/>
      <c r="FV47" s="31"/>
      <c r="FW47" s="31"/>
      <c r="FX47" s="31"/>
      <c r="FY47" s="31"/>
      <c r="FZ47" s="31"/>
      <c r="GA47" s="31"/>
      <c r="GB47" s="31"/>
      <c r="GC47" s="31"/>
      <c r="GD47" s="31"/>
      <c r="GE47" s="31"/>
      <c r="GF47" s="31"/>
      <c r="GG47" s="31"/>
      <c r="GH47" s="31"/>
      <c r="GI47" s="31"/>
      <c r="GJ47" s="31"/>
      <c r="GK47" s="31"/>
      <c r="GL47" s="31"/>
      <c r="GM47" s="31"/>
      <c r="GN47" s="31"/>
      <c r="GO47" s="31"/>
      <c r="GP47" s="31"/>
      <c r="GQ47" s="31"/>
      <c r="GR47" s="31"/>
      <c r="GS47" s="31"/>
      <c r="GT47" s="31"/>
      <c r="GU47" s="31"/>
      <c r="GV47" s="31"/>
      <c r="GW47" s="31"/>
      <c r="GX47" s="31"/>
      <c r="GY47" s="31"/>
      <c r="GZ47" s="31"/>
      <c r="HA47" s="31"/>
      <c r="HB47" s="31"/>
      <c r="HC47" s="31"/>
      <c r="HD47" s="31"/>
      <c r="HE47" s="31"/>
      <c r="HF47" s="31"/>
      <c r="HG47" s="31"/>
      <c r="HH47" s="31"/>
      <c r="HI47" s="31"/>
      <c r="HJ47" s="31"/>
      <c r="HK47" s="31"/>
      <c r="HL47" s="31"/>
      <c r="HM47" s="31"/>
      <c r="HN47" s="31"/>
      <c r="HO47" s="31"/>
      <c r="HP47" s="31"/>
      <c r="HQ47" s="31"/>
      <c r="HR47" s="31"/>
      <c r="HS47" s="31"/>
      <c r="HT47" s="31"/>
      <c r="HU47" s="31"/>
      <c r="HV47" s="31"/>
      <c r="HW47" s="31"/>
      <c r="HX47" s="31"/>
      <c r="HY47" s="31"/>
      <c r="HZ47" s="31"/>
      <c r="IA47" s="31"/>
      <c r="IB47" s="31"/>
      <c r="IC47" s="31"/>
      <c r="ID47" s="31"/>
      <c r="IE47" s="31"/>
      <c r="IF47" s="31"/>
      <c r="IG47" s="31"/>
      <c r="IH47" s="31"/>
      <c r="II47" s="31"/>
      <c r="IJ47" s="31"/>
      <c r="IK47" s="31"/>
      <c r="IL47" s="31"/>
      <c r="IM47" s="31"/>
      <c r="IN47" s="31"/>
      <c r="IO47" s="31"/>
      <c r="IP47" s="31"/>
      <c r="IQ47" s="31"/>
      <c r="IR47" s="31"/>
      <c r="IS47" s="31"/>
      <c r="IT47" s="31"/>
      <c r="IU47" s="31"/>
      <c r="IV47" s="31"/>
      <c r="IW47" s="31"/>
      <c r="IX47" s="31"/>
      <c r="IY47" s="31"/>
      <c r="IZ47" s="31"/>
      <c r="JA47" s="31"/>
      <c r="JB47" s="31"/>
      <c r="JC47" s="31"/>
      <c r="JD47" s="31"/>
      <c r="JE47" s="31"/>
      <c r="JF47" s="31"/>
      <c r="JG47" s="31"/>
      <c r="JH47" s="31"/>
      <c r="JI47" s="31"/>
      <c r="JJ47" s="31"/>
      <c r="JK47" s="31"/>
      <c r="JL47" s="31"/>
      <c r="JM47" s="31"/>
      <c r="JN47" s="31"/>
      <c r="JO47" s="31"/>
      <c r="JP47" s="31"/>
      <c r="JQ47" s="31"/>
      <c r="JR47" s="31"/>
      <c r="JS47" s="31"/>
      <c r="JT47" s="31"/>
      <c r="JU47" s="31"/>
      <c r="JV47" s="31"/>
      <c r="JW47" s="31"/>
      <c r="JX47" s="31"/>
      <c r="JY47" s="31"/>
      <c r="JZ47" s="31"/>
      <c r="KA47" s="31"/>
      <c r="KB47" s="31"/>
      <c r="KC47" s="31"/>
      <c r="KD47" s="31"/>
      <c r="KE47" s="31"/>
      <c r="KF47" s="31"/>
      <c r="KG47" s="31"/>
      <c r="KH47" s="31"/>
      <c r="KI47" s="31"/>
      <c r="KJ47" s="31"/>
      <c r="KK47" s="31"/>
      <c r="KL47" s="31"/>
      <c r="KM47" s="31"/>
      <c r="KN47" s="31"/>
      <c r="KO47" s="31"/>
      <c r="KP47" s="31"/>
      <c r="KQ47" s="31"/>
      <c r="KR47" s="31"/>
      <c r="KS47" s="31"/>
      <c r="KT47" s="31"/>
      <c r="KU47" s="31"/>
      <c r="KV47" s="31"/>
      <c r="KW47" s="31"/>
      <c r="KX47" s="31"/>
      <c r="KY47" s="31"/>
      <c r="KZ47" s="31"/>
      <c r="LA47" s="31"/>
      <c r="LB47" s="31"/>
      <c r="LC47" s="31"/>
      <c r="LD47" s="31"/>
      <c r="LE47" s="31"/>
      <c r="LF47" s="31"/>
      <c r="LG47" s="31"/>
      <c r="LH47" s="31"/>
      <c r="LI47" s="31"/>
      <c r="LJ47" s="31"/>
      <c r="LK47" s="31"/>
      <c r="LL47" s="31"/>
      <c r="LM47" s="31"/>
      <c r="LN47" s="31"/>
      <c r="LO47" s="31"/>
      <c r="LP47" s="31"/>
      <c r="LQ47" s="31"/>
      <c r="LR47" s="31"/>
      <c r="LS47" s="31"/>
      <c r="LT47" s="31"/>
      <c r="LU47" s="31"/>
      <c r="LV47" s="31"/>
      <c r="LW47" s="31"/>
      <c r="LX47" s="31"/>
      <c r="LY47" s="31"/>
      <c r="LZ47" s="31"/>
      <c r="MA47" s="31"/>
      <c r="MB47" s="31"/>
      <c r="MC47" s="31"/>
      <c r="MD47" s="31"/>
      <c r="ME47" s="31"/>
      <c r="MF47" s="31"/>
    </row>
    <row r="48" spans="1:344" s="3" customFormat="1" ht="30" customHeight="1">
      <c r="A48" s="46" t="s">
        <v>166</v>
      </c>
      <c r="B48" s="265" t="str">
        <f>'OKR '!D85</f>
        <v>Organizar a governança e a estrutura institucional da Telessaúde</v>
      </c>
      <c r="C48" s="265"/>
      <c r="D48" s="265"/>
      <c r="E48" s="265"/>
      <c r="F48" s="265"/>
      <c r="G48" s="14"/>
      <c r="H48" s="14" t="str">
        <f t="shared" ca="1" si="332"/>
        <v/>
      </c>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c r="EG48" s="31"/>
      <c r="EH48" s="31"/>
      <c r="EI48" s="31"/>
      <c r="EJ48" s="31"/>
      <c r="EK48" s="31"/>
      <c r="EL48" s="31"/>
      <c r="EM48" s="31"/>
      <c r="EN48" s="31"/>
      <c r="EO48" s="31"/>
      <c r="EP48" s="31"/>
      <c r="EQ48" s="31"/>
      <c r="ER48" s="31"/>
      <c r="ES48" s="31"/>
      <c r="ET48" s="31"/>
      <c r="EU48" s="31"/>
      <c r="EV48" s="31"/>
      <c r="EW48" s="31"/>
      <c r="EX48" s="31"/>
      <c r="EY48" s="31"/>
      <c r="EZ48" s="31"/>
      <c r="FA48" s="31"/>
      <c r="FB48" s="31"/>
      <c r="FC48" s="31"/>
      <c r="FD48" s="31"/>
      <c r="FE48" s="31"/>
      <c r="FF48" s="31"/>
      <c r="FG48" s="31"/>
      <c r="FH48" s="31"/>
      <c r="FI48" s="31"/>
      <c r="FJ48" s="31"/>
      <c r="FK48" s="31"/>
      <c r="FL48" s="31"/>
      <c r="FM48" s="31"/>
      <c r="FN48" s="31"/>
      <c r="FO48" s="31"/>
      <c r="FP48" s="31"/>
      <c r="FQ48" s="31"/>
      <c r="FR48" s="31"/>
      <c r="FS48" s="31"/>
      <c r="FT48" s="31"/>
      <c r="FU48" s="31"/>
      <c r="FV48" s="31"/>
      <c r="FW48" s="31"/>
      <c r="FX48" s="31"/>
      <c r="FY48" s="31"/>
      <c r="FZ48" s="31"/>
      <c r="GA48" s="31"/>
      <c r="GB48" s="31"/>
      <c r="GC48" s="31"/>
      <c r="GD48" s="31"/>
      <c r="GE48" s="31"/>
      <c r="GF48" s="31"/>
      <c r="GG48" s="31"/>
      <c r="GH48" s="31"/>
      <c r="GI48" s="31"/>
      <c r="GJ48" s="31"/>
      <c r="GK48" s="31"/>
      <c r="GL48" s="31"/>
      <c r="GM48" s="31"/>
      <c r="GN48" s="31"/>
      <c r="GO48" s="31"/>
      <c r="GP48" s="31"/>
      <c r="GQ48" s="31"/>
      <c r="GR48" s="31"/>
      <c r="GS48" s="31"/>
      <c r="GT48" s="31"/>
      <c r="GU48" s="31"/>
      <c r="GV48" s="31"/>
      <c r="GW48" s="31"/>
      <c r="GX48" s="31"/>
      <c r="GY48" s="31"/>
      <c r="GZ48" s="31"/>
      <c r="HA48" s="31"/>
      <c r="HB48" s="31"/>
      <c r="HC48" s="31"/>
      <c r="HD48" s="31"/>
      <c r="HE48" s="31"/>
      <c r="HF48" s="31"/>
      <c r="HG48" s="31"/>
      <c r="HH48" s="31"/>
      <c r="HI48" s="31"/>
      <c r="HJ48" s="31"/>
      <c r="HK48" s="31"/>
      <c r="HL48" s="31"/>
      <c r="HM48" s="31"/>
      <c r="HN48" s="31"/>
      <c r="HO48" s="31"/>
      <c r="HP48" s="31"/>
      <c r="HQ48" s="31"/>
      <c r="HR48" s="31"/>
      <c r="HS48" s="31"/>
      <c r="HT48" s="31"/>
      <c r="HU48" s="31"/>
      <c r="HV48" s="31"/>
      <c r="HW48" s="31"/>
      <c r="HX48" s="31"/>
      <c r="HY48" s="31"/>
      <c r="HZ48" s="31"/>
      <c r="IA48" s="31"/>
      <c r="IB48" s="31"/>
      <c r="IC48" s="31"/>
      <c r="ID48" s="31"/>
      <c r="IE48" s="31"/>
      <c r="IF48" s="31"/>
      <c r="IG48" s="31"/>
      <c r="IH48" s="31"/>
      <c r="II48" s="31"/>
      <c r="IJ48" s="31"/>
      <c r="IK48" s="31"/>
      <c r="IL48" s="31"/>
      <c r="IM48" s="31"/>
      <c r="IN48" s="31"/>
      <c r="IO48" s="31"/>
      <c r="IP48" s="31"/>
      <c r="IQ48" s="31"/>
      <c r="IR48" s="31"/>
      <c r="IS48" s="31"/>
      <c r="IT48" s="31"/>
      <c r="IU48" s="31"/>
      <c r="IV48" s="31"/>
      <c r="IW48" s="31"/>
      <c r="IX48" s="31"/>
      <c r="IY48" s="31"/>
      <c r="IZ48" s="31"/>
      <c r="JA48" s="31"/>
      <c r="JB48" s="31"/>
      <c r="JC48" s="31"/>
      <c r="JD48" s="31"/>
      <c r="JE48" s="31"/>
      <c r="JF48" s="31"/>
      <c r="JG48" s="31"/>
      <c r="JH48" s="31"/>
      <c r="JI48" s="31"/>
      <c r="JJ48" s="31"/>
      <c r="JK48" s="31"/>
      <c r="JL48" s="31"/>
      <c r="JM48" s="31"/>
      <c r="JN48" s="31"/>
      <c r="JO48" s="31"/>
      <c r="JP48" s="31"/>
      <c r="JQ48" s="31"/>
      <c r="JR48" s="31"/>
      <c r="JS48" s="31"/>
      <c r="JT48" s="31"/>
      <c r="JU48" s="31"/>
      <c r="JV48" s="31"/>
      <c r="JW48" s="31"/>
      <c r="JX48" s="31"/>
      <c r="JY48" s="31"/>
      <c r="JZ48" s="31"/>
      <c r="KA48" s="31"/>
      <c r="KB48" s="31"/>
      <c r="KC48" s="31"/>
      <c r="KD48" s="31"/>
      <c r="KE48" s="31"/>
      <c r="KF48" s="31"/>
      <c r="KG48" s="31"/>
      <c r="KH48" s="31"/>
      <c r="KI48" s="31"/>
      <c r="KJ48" s="31"/>
      <c r="KK48" s="31"/>
      <c r="KL48" s="31"/>
      <c r="KM48" s="31"/>
      <c r="KN48" s="31"/>
      <c r="KO48" s="31"/>
      <c r="KP48" s="31"/>
      <c r="KQ48" s="31"/>
      <c r="KR48" s="31"/>
      <c r="KS48" s="31"/>
      <c r="KT48" s="31"/>
      <c r="KU48" s="31"/>
      <c r="KV48" s="31"/>
      <c r="KW48" s="31"/>
      <c r="KX48" s="31"/>
      <c r="KY48" s="31"/>
      <c r="KZ48" s="31"/>
      <c r="LA48" s="31"/>
      <c r="LB48" s="31"/>
      <c r="LC48" s="31"/>
      <c r="LD48" s="31"/>
      <c r="LE48" s="31"/>
      <c r="LF48" s="31"/>
      <c r="LG48" s="31"/>
      <c r="LH48" s="31"/>
      <c r="LI48" s="31"/>
      <c r="LJ48" s="31"/>
      <c r="LK48" s="31"/>
      <c r="LL48" s="31"/>
      <c r="LM48" s="31"/>
      <c r="LN48" s="31"/>
      <c r="LO48" s="31"/>
      <c r="LP48" s="31"/>
      <c r="LQ48" s="31"/>
      <c r="LR48" s="31"/>
      <c r="LS48" s="31"/>
      <c r="LT48" s="31"/>
      <c r="LU48" s="31"/>
      <c r="LV48" s="31"/>
      <c r="LW48" s="31"/>
      <c r="LX48" s="31"/>
      <c r="LY48" s="31"/>
      <c r="LZ48" s="31"/>
      <c r="MA48" s="31"/>
      <c r="MB48" s="31"/>
      <c r="MC48" s="31"/>
      <c r="MD48" s="31"/>
      <c r="ME48" s="31"/>
      <c r="MF48" s="31"/>
    </row>
    <row r="49" spans="1:344" ht="55.5" customHeight="1">
      <c r="A49" s="46" t="s">
        <v>167</v>
      </c>
      <c r="B49" s="186" t="str">
        <f>'OKR '!D88</f>
        <v>Definir representantes municipais para atuar na condução conjunta da Telessaúde na microrregião</v>
      </c>
      <c r="C49" s="186" t="str">
        <f>'OKR '!E88</f>
        <v>Gestores Municipais</v>
      </c>
      <c r="D49" s="22"/>
      <c r="E49" s="187">
        <f>'OKR '!G88</f>
        <v>46055</v>
      </c>
      <c r="F49" s="187">
        <f>'OKR '!H88</f>
        <v>46080</v>
      </c>
      <c r="G49" s="14"/>
      <c r="H49" s="14">
        <f t="shared" ca="1" si="332"/>
        <v>26</v>
      </c>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c r="EG49" s="31"/>
      <c r="EH49" s="31"/>
      <c r="EI49" s="31"/>
      <c r="EJ49" s="31"/>
      <c r="EK49" s="31"/>
      <c r="EL49" s="31"/>
      <c r="EM49" s="31"/>
      <c r="EN49" s="31"/>
      <c r="EO49" s="31"/>
      <c r="EP49" s="31"/>
      <c r="EQ49" s="31"/>
      <c r="ER49" s="31"/>
      <c r="ES49" s="31"/>
      <c r="ET49" s="31"/>
      <c r="EU49" s="31"/>
      <c r="EV49" s="31"/>
      <c r="EW49" s="31"/>
      <c r="EX49" s="31"/>
      <c r="EY49" s="31"/>
      <c r="EZ49" s="31"/>
      <c r="FA49" s="31"/>
      <c r="FB49" s="31"/>
      <c r="FC49" s="31"/>
      <c r="FD49" s="31"/>
      <c r="FE49" s="31"/>
      <c r="FF49" s="31"/>
      <c r="FG49" s="31"/>
      <c r="FH49" s="31"/>
      <c r="FI49" s="31"/>
      <c r="FJ49" s="31"/>
      <c r="FK49" s="31"/>
      <c r="FL49" s="31"/>
      <c r="FM49" s="31"/>
      <c r="FN49" s="31"/>
      <c r="FO49" s="31"/>
      <c r="FP49" s="31"/>
      <c r="FQ49" s="31"/>
      <c r="FR49" s="31"/>
      <c r="FS49" s="31"/>
      <c r="FT49" s="31"/>
      <c r="FU49" s="31"/>
      <c r="FV49" s="31"/>
      <c r="FW49" s="31"/>
      <c r="FX49" s="31"/>
      <c r="FY49" s="31"/>
      <c r="FZ49" s="31"/>
      <c r="GA49" s="31"/>
      <c r="GB49" s="31"/>
      <c r="GC49" s="31"/>
      <c r="GD49" s="31"/>
      <c r="GE49" s="31"/>
      <c r="GF49" s="31"/>
      <c r="GG49" s="31"/>
      <c r="GH49" s="31"/>
      <c r="GI49" s="31"/>
      <c r="GJ49" s="31"/>
      <c r="GK49" s="31"/>
      <c r="GL49" s="31"/>
      <c r="GM49" s="31"/>
      <c r="GN49" s="31"/>
      <c r="GO49" s="31"/>
      <c r="GP49" s="31"/>
      <c r="GQ49" s="31"/>
      <c r="GR49" s="31"/>
      <c r="GS49" s="31"/>
      <c r="GT49" s="31"/>
      <c r="GU49" s="31"/>
      <c r="GV49" s="31"/>
      <c r="GW49" s="31"/>
      <c r="GX49" s="31"/>
      <c r="GY49" s="31"/>
      <c r="GZ49" s="31"/>
      <c r="HA49" s="31"/>
      <c r="HB49" s="31"/>
      <c r="HC49" s="31"/>
      <c r="HD49" s="31"/>
      <c r="HE49" s="31"/>
      <c r="HF49" s="31"/>
      <c r="HG49" s="31"/>
      <c r="HH49" s="31"/>
      <c r="HI49" s="31"/>
      <c r="HJ49" s="31"/>
      <c r="HK49" s="31"/>
      <c r="HL49" s="31"/>
      <c r="HM49" s="31"/>
      <c r="HN49" s="31"/>
      <c r="HO49" s="31"/>
      <c r="HP49" s="31"/>
      <c r="HQ49" s="31"/>
      <c r="HR49" s="31"/>
      <c r="HS49" s="31"/>
      <c r="HT49" s="31"/>
      <c r="HU49" s="31"/>
      <c r="HV49" s="31"/>
      <c r="HW49" s="31"/>
      <c r="HX49" s="31"/>
      <c r="HY49" s="31"/>
      <c r="HZ49" s="31"/>
      <c r="IA49" s="31"/>
      <c r="IB49" s="31"/>
      <c r="IC49" s="31"/>
      <c r="ID49" s="31"/>
      <c r="IE49" s="31"/>
      <c r="IF49" s="31"/>
      <c r="IG49" s="31"/>
      <c r="IH49" s="31"/>
      <c r="II49" s="31"/>
      <c r="IJ49" s="31"/>
      <c r="IK49" s="31"/>
      <c r="IL49" s="31"/>
      <c r="IM49" s="31"/>
      <c r="IN49" s="31"/>
      <c r="IO49" s="31"/>
      <c r="IP49" s="31"/>
      <c r="IQ49" s="31"/>
      <c r="IR49" s="31"/>
      <c r="IS49" s="31"/>
      <c r="IT49" s="31"/>
      <c r="IU49" s="31"/>
      <c r="IV49" s="31"/>
      <c r="IW49" s="31"/>
      <c r="IX49" s="31"/>
      <c r="IY49" s="31"/>
      <c r="IZ49" s="31"/>
      <c r="JA49" s="31"/>
      <c r="JB49" s="31"/>
      <c r="JC49" s="31"/>
      <c r="JD49" s="31"/>
      <c r="JE49" s="31"/>
      <c r="JF49" s="31"/>
      <c r="JG49" s="31"/>
      <c r="JH49" s="31"/>
      <c r="JI49" s="31"/>
      <c r="JJ49" s="31"/>
      <c r="JK49" s="31"/>
      <c r="JL49" s="31"/>
      <c r="JM49" s="31"/>
      <c r="JN49" s="31"/>
      <c r="JO49" s="31"/>
      <c r="JP49" s="31"/>
      <c r="JQ49" s="31"/>
      <c r="JR49" s="31"/>
      <c r="JS49" s="31"/>
      <c r="JT49" s="31"/>
      <c r="JU49" s="31"/>
      <c r="JV49" s="31"/>
      <c r="JW49" s="31"/>
      <c r="JX49" s="31"/>
      <c r="JY49" s="31"/>
      <c r="JZ49" s="31"/>
      <c r="KA49" s="31"/>
      <c r="KB49" s="31"/>
      <c r="KC49" s="31"/>
      <c r="KD49" s="31"/>
      <c r="KE49" s="31"/>
      <c r="KF49" s="31"/>
      <c r="KG49" s="31"/>
      <c r="KH49" s="31"/>
      <c r="KI49" s="31"/>
      <c r="KJ49" s="31"/>
      <c r="KK49" s="31"/>
      <c r="KL49" s="31"/>
      <c r="KM49" s="31"/>
      <c r="KN49" s="31"/>
      <c r="KO49" s="31"/>
      <c r="KP49" s="31"/>
      <c r="KQ49" s="31"/>
      <c r="KR49" s="31"/>
      <c r="KS49" s="31"/>
      <c r="KT49" s="31"/>
      <c r="KU49" s="31"/>
      <c r="KV49" s="31"/>
      <c r="KW49" s="31"/>
      <c r="KX49" s="31"/>
      <c r="KY49" s="31"/>
      <c r="KZ49" s="31"/>
      <c r="LA49" s="31"/>
      <c r="LB49" s="31"/>
      <c r="LC49" s="31"/>
      <c r="LD49" s="31"/>
      <c r="LE49" s="31"/>
      <c r="LF49" s="31"/>
      <c r="LG49" s="31"/>
      <c r="LH49" s="31"/>
      <c r="LI49" s="31"/>
      <c r="LJ49" s="31"/>
      <c r="LK49" s="31"/>
      <c r="LL49" s="31"/>
      <c r="LM49" s="31"/>
      <c r="LN49" s="31"/>
      <c r="LO49" s="31"/>
      <c r="LP49" s="31"/>
      <c r="LQ49" s="31"/>
      <c r="LR49" s="31"/>
      <c r="LS49" s="31"/>
      <c r="LT49" s="31"/>
      <c r="LU49" s="31"/>
      <c r="LV49" s="31"/>
      <c r="LW49" s="31"/>
      <c r="LX49" s="31"/>
      <c r="LY49" s="31"/>
      <c r="LZ49" s="31"/>
      <c r="MA49" s="31"/>
      <c r="MB49" s="31"/>
      <c r="MC49" s="31"/>
      <c r="MD49" s="31"/>
      <c r="ME49" s="31"/>
      <c r="MF49" s="31"/>
    </row>
    <row r="50" spans="1:344" ht="46.5" customHeight="1">
      <c r="A50" s="46" t="s">
        <v>168</v>
      </c>
      <c r="B50" s="186" t="str">
        <f>'OKR '!D89</f>
        <v>Instituir instância de governança microrregional (escopo de atuação, atribuições, regularidade dos encontros etc)</v>
      </c>
      <c r="C50" s="186" t="str">
        <f>'OKR '!E89</f>
        <v>SMS ; Equipe da Telessaúde ; NSDIGI ; Cosems</v>
      </c>
      <c r="D50" s="22"/>
      <c r="E50" s="187">
        <f>'OKR '!G89</f>
        <v>46055</v>
      </c>
      <c r="F50" s="187">
        <f>'OKR '!H89</f>
        <v>46112</v>
      </c>
      <c r="G50" s="14"/>
      <c r="H50" s="14">
        <f t="shared" ca="1" si="332"/>
        <v>58</v>
      </c>
      <c r="I50" s="31"/>
      <c r="J50" s="31"/>
      <c r="K50" s="31"/>
      <c r="L50" s="31"/>
      <c r="M50" s="31"/>
      <c r="N50" s="31"/>
      <c r="O50" s="31"/>
      <c r="P50" s="31"/>
      <c r="Q50" s="31"/>
      <c r="R50" s="31"/>
      <c r="S50" s="31"/>
      <c r="T50" s="31"/>
      <c r="U50" s="32"/>
      <c r="V50" s="32"/>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c r="DQ50" s="31"/>
      <c r="DR50" s="31"/>
      <c r="DS50" s="31"/>
      <c r="DT50" s="31"/>
      <c r="DU50" s="31"/>
      <c r="DV50" s="31"/>
      <c r="DW50" s="31"/>
      <c r="DX50" s="31"/>
      <c r="DY50" s="31"/>
      <c r="DZ50" s="31"/>
      <c r="EA50" s="31"/>
      <c r="EB50" s="31"/>
      <c r="EC50" s="31"/>
      <c r="ED50" s="31"/>
      <c r="EE50" s="31"/>
      <c r="EF50" s="31"/>
      <c r="EG50" s="31"/>
      <c r="EH50" s="31"/>
      <c r="EI50" s="31"/>
      <c r="EJ50" s="31"/>
      <c r="EK50" s="31"/>
      <c r="EL50" s="31"/>
      <c r="EM50" s="31"/>
      <c r="EN50" s="31"/>
      <c r="EO50" s="31"/>
      <c r="EP50" s="31"/>
      <c r="EQ50" s="31"/>
      <c r="ER50" s="31"/>
      <c r="ES50" s="31"/>
      <c r="ET50" s="31"/>
      <c r="EU50" s="31"/>
      <c r="EV50" s="31"/>
      <c r="EW50" s="31"/>
      <c r="EX50" s="31"/>
      <c r="EY50" s="31"/>
      <c r="EZ50" s="31"/>
      <c r="FA50" s="31"/>
      <c r="FB50" s="31"/>
      <c r="FC50" s="31"/>
      <c r="FD50" s="31"/>
      <c r="FE50" s="31"/>
      <c r="FF50" s="31"/>
      <c r="FG50" s="31"/>
      <c r="FH50" s="31"/>
      <c r="FI50" s="31"/>
      <c r="FJ50" s="31"/>
      <c r="FK50" s="31"/>
      <c r="FL50" s="31"/>
      <c r="FM50" s="31"/>
      <c r="FN50" s="31"/>
      <c r="FO50" s="31"/>
      <c r="FP50" s="31"/>
      <c r="FQ50" s="31"/>
      <c r="FR50" s="31"/>
      <c r="FS50" s="31"/>
      <c r="FT50" s="31"/>
      <c r="FU50" s="31"/>
      <c r="FV50" s="31"/>
      <c r="FW50" s="31"/>
      <c r="FX50" s="31"/>
      <c r="FY50" s="31"/>
      <c r="FZ50" s="31"/>
      <c r="GA50" s="31"/>
      <c r="GB50" s="31"/>
      <c r="GC50" s="31"/>
      <c r="GD50" s="31"/>
      <c r="GE50" s="31"/>
      <c r="GF50" s="31"/>
      <c r="GG50" s="31"/>
      <c r="GH50" s="31"/>
      <c r="GI50" s="31"/>
      <c r="GJ50" s="31"/>
      <c r="GK50" s="31"/>
      <c r="GL50" s="31"/>
      <c r="GM50" s="31"/>
      <c r="GN50" s="31"/>
      <c r="GO50" s="31"/>
      <c r="GP50" s="31"/>
      <c r="GQ50" s="31"/>
      <c r="GR50" s="31"/>
      <c r="GS50" s="31"/>
      <c r="GT50" s="31"/>
      <c r="GU50" s="31"/>
      <c r="GV50" s="31"/>
      <c r="GW50" s="31"/>
      <c r="GX50" s="31"/>
      <c r="GY50" s="31"/>
      <c r="GZ50" s="31"/>
      <c r="HA50" s="31"/>
      <c r="HB50" s="31"/>
      <c r="HC50" s="31"/>
      <c r="HD50" s="31"/>
      <c r="HE50" s="31"/>
      <c r="HF50" s="31"/>
      <c r="HG50" s="31"/>
      <c r="HH50" s="31"/>
      <c r="HI50" s="31"/>
      <c r="HJ50" s="31"/>
      <c r="HK50" s="31"/>
      <c r="HL50" s="31"/>
      <c r="HM50" s="31"/>
      <c r="HN50" s="31"/>
      <c r="HO50" s="31"/>
      <c r="HP50" s="31"/>
      <c r="HQ50" s="31"/>
      <c r="HR50" s="31"/>
      <c r="HS50" s="31"/>
      <c r="HT50" s="31"/>
      <c r="HU50" s="31"/>
      <c r="HV50" s="31"/>
      <c r="HW50" s="31"/>
      <c r="HX50" s="31"/>
      <c r="HY50" s="31"/>
      <c r="HZ50" s="31"/>
      <c r="IA50" s="31"/>
      <c r="IB50" s="31"/>
      <c r="IC50" s="31"/>
      <c r="ID50" s="31"/>
      <c r="IE50" s="31"/>
      <c r="IF50" s="31"/>
      <c r="IG50" s="31"/>
      <c r="IH50" s="31"/>
      <c r="II50" s="31"/>
      <c r="IJ50" s="31"/>
      <c r="IK50" s="31"/>
      <c r="IL50" s="31"/>
      <c r="IM50" s="31"/>
      <c r="IN50" s="31"/>
      <c r="IO50" s="31"/>
      <c r="IP50" s="31"/>
      <c r="IQ50" s="31"/>
      <c r="IR50" s="31"/>
      <c r="IS50" s="31"/>
      <c r="IT50" s="31"/>
      <c r="IU50" s="31"/>
      <c r="IV50" s="31"/>
      <c r="IW50" s="31"/>
      <c r="IX50" s="31"/>
      <c r="IY50" s="31"/>
      <c r="IZ50" s="31"/>
      <c r="JA50" s="31"/>
      <c r="JB50" s="31"/>
      <c r="JC50" s="31"/>
      <c r="JD50" s="31"/>
      <c r="JE50" s="31"/>
      <c r="JF50" s="31"/>
      <c r="JG50" s="31"/>
      <c r="JH50" s="31"/>
      <c r="JI50" s="31"/>
      <c r="JJ50" s="31"/>
      <c r="JK50" s="31"/>
      <c r="JL50" s="31"/>
      <c r="JM50" s="31"/>
      <c r="JN50" s="31"/>
      <c r="JO50" s="31"/>
      <c r="JP50" s="31"/>
      <c r="JQ50" s="31"/>
      <c r="JR50" s="31"/>
      <c r="JS50" s="31"/>
      <c r="JT50" s="31"/>
      <c r="JU50" s="31"/>
      <c r="JV50" s="31"/>
      <c r="JW50" s="31"/>
      <c r="JX50" s="31"/>
      <c r="JY50" s="31"/>
      <c r="JZ50" s="31"/>
      <c r="KA50" s="31"/>
      <c r="KB50" s="31"/>
      <c r="KC50" s="31"/>
      <c r="KD50" s="31"/>
      <c r="KE50" s="31"/>
      <c r="KF50" s="31"/>
      <c r="KG50" s="31"/>
      <c r="KH50" s="31"/>
      <c r="KI50" s="31"/>
      <c r="KJ50" s="31"/>
      <c r="KK50" s="31"/>
      <c r="KL50" s="31"/>
      <c r="KM50" s="31"/>
      <c r="KN50" s="31"/>
      <c r="KO50" s="31"/>
      <c r="KP50" s="31"/>
      <c r="KQ50" s="31"/>
      <c r="KR50" s="31"/>
      <c r="KS50" s="31"/>
      <c r="KT50" s="31"/>
      <c r="KU50" s="31"/>
      <c r="KV50" s="31"/>
      <c r="KW50" s="31"/>
      <c r="KX50" s="31"/>
      <c r="KY50" s="31"/>
      <c r="KZ50" s="31"/>
      <c r="LA50" s="31"/>
      <c r="LB50" s="31"/>
      <c r="LC50" s="31"/>
      <c r="LD50" s="31"/>
      <c r="LE50" s="31"/>
      <c r="LF50" s="31"/>
      <c r="LG50" s="31"/>
      <c r="LH50" s="31"/>
      <c r="LI50" s="31"/>
      <c r="LJ50" s="31"/>
      <c r="LK50" s="31"/>
      <c r="LL50" s="31"/>
      <c r="LM50" s="31"/>
      <c r="LN50" s="31"/>
      <c r="LO50" s="31"/>
      <c r="LP50" s="31"/>
      <c r="LQ50" s="31"/>
      <c r="LR50" s="31"/>
      <c r="LS50" s="31"/>
      <c r="LT50" s="31"/>
      <c r="LU50" s="31"/>
      <c r="LV50" s="31"/>
      <c r="LW50" s="31"/>
      <c r="LX50" s="31"/>
      <c r="LY50" s="31"/>
      <c r="LZ50" s="31"/>
      <c r="MA50" s="31"/>
      <c r="MB50" s="31"/>
      <c r="MC50" s="31"/>
      <c r="MD50" s="31"/>
      <c r="ME50" s="31"/>
      <c r="MF50" s="31"/>
    </row>
    <row r="51" spans="1:344" ht="30" customHeight="1">
      <c r="B51" s="186" t="str">
        <f>'OKR '!D90</f>
        <v>Elaborar fluxos para utilização da teleconsultoria</v>
      </c>
      <c r="C51" s="186" t="str">
        <f>'OKR '!E90</f>
        <v>Equipe Microrregional</v>
      </c>
      <c r="D51" s="22"/>
      <c r="E51" s="187">
        <f>'OKR '!G90</f>
        <v>46113</v>
      </c>
      <c r="F51" s="187">
        <f>'OKR '!H90</f>
        <v>46173</v>
      </c>
      <c r="G51" s="14"/>
      <c r="H51" s="14">
        <f t="shared" ca="1" si="332"/>
        <v>61</v>
      </c>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c r="EG51" s="31"/>
      <c r="EH51" s="31"/>
      <c r="EI51" s="31"/>
      <c r="EJ51" s="31"/>
      <c r="EK51" s="31"/>
      <c r="EL51" s="31"/>
      <c r="EM51" s="31"/>
      <c r="EN51" s="31"/>
      <c r="EO51" s="31"/>
      <c r="EP51" s="31"/>
      <c r="EQ51" s="31"/>
      <c r="ER51" s="31"/>
      <c r="ES51" s="31"/>
      <c r="ET51" s="31"/>
      <c r="EU51" s="31"/>
      <c r="EV51" s="31"/>
      <c r="EW51" s="31"/>
      <c r="EX51" s="31"/>
      <c r="EY51" s="31"/>
      <c r="EZ51" s="31"/>
      <c r="FA51" s="31"/>
      <c r="FB51" s="31"/>
      <c r="FC51" s="31"/>
      <c r="FD51" s="31"/>
      <c r="FE51" s="31"/>
      <c r="FF51" s="31"/>
      <c r="FG51" s="31"/>
      <c r="FH51" s="31"/>
      <c r="FI51" s="31"/>
      <c r="FJ51" s="31"/>
      <c r="FK51" s="31"/>
      <c r="FL51" s="31"/>
      <c r="FM51" s="31"/>
      <c r="FN51" s="31"/>
      <c r="FO51" s="31"/>
      <c r="FP51" s="31"/>
      <c r="FQ51" s="31"/>
      <c r="FR51" s="31"/>
      <c r="FS51" s="31"/>
      <c r="FT51" s="31"/>
      <c r="FU51" s="31"/>
      <c r="FV51" s="31"/>
      <c r="FW51" s="31"/>
      <c r="FX51" s="31"/>
      <c r="FY51" s="31"/>
      <c r="FZ51" s="31"/>
      <c r="GA51" s="31"/>
      <c r="GB51" s="31"/>
      <c r="GC51" s="31"/>
      <c r="GD51" s="31"/>
      <c r="GE51" s="31"/>
      <c r="GF51" s="31"/>
      <c r="GG51" s="31"/>
      <c r="GH51" s="31"/>
      <c r="GI51" s="31"/>
      <c r="GJ51" s="31"/>
      <c r="GK51" s="31"/>
      <c r="GL51" s="31"/>
      <c r="GM51" s="31"/>
      <c r="GN51" s="31"/>
      <c r="GO51" s="31"/>
      <c r="GP51" s="31"/>
      <c r="GQ51" s="31"/>
      <c r="GR51" s="31"/>
      <c r="GS51" s="31"/>
      <c r="GT51" s="31"/>
      <c r="GU51" s="31"/>
      <c r="GV51" s="31"/>
      <c r="GW51" s="31"/>
      <c r="GX51" s="31"/>
      <c r="GY51" s="31"/>
      <c r="GZ51" s="31"/>
      <c r="HA51" s="31"/>
      <c r="HB51" s="31"/>
      <c r="HC51" s="31"/>
      <c r="HD51" s="31"/>
      <c r="HE51" s="31"/>
      <c r="HF51" s="31"/>
      <c r="HG51" s="31"/>
      <c r="HH51" s="31"/>
      <c r="HI51" s="31"/>
      <c r="HJ51" s="31"/>
      <c r="HK51" s="31"/>
      <c r="HL51" s="31"/>
      <c r="HM51" s="31"/>
      <c r="HN51" s="31"/>
      <c r="HO51" s="31"/>
      <c r="HP51" s="31"/>
      <c r="HQ51" s="31"/>
      <c r="HR51" s="31"/>
      <c r="HS51" s="31"/>
      <c r="HT51" s="31"/>
      <c r="HU51" s="31"/>
      <c r="HV51" s="31"/>
      <c r="HW51" s="31"/>
      <c r="HX51" s="31"/>
      <c r="HY51" s="31"/>
      <c r="HZ51" s="31"/>
      <c r="IA51" s="31"/>
      <c r="IB51" s="31"/>
      <c r="IC51" s="31"/>
      <c r="ID51" s="31"/>
      <c r="IE51" s="31"/>
      <c r="IF51" s="31"/>
      <c r="IG51" s="31"/>
      <c r="IH51" s="31"/>
      <c r="II51" s="31"/>
      <c r="IJ51" s="31"/>
      <c r="IK51" s="31"/>
      <c r="IL51" s="31"/>
      <c r="IM51" s="31"/>
      <c r="IN51" s="31"/>
      <c r="IO51" s="31"/>
      <c r="IP51" s="31"/>
      <c r="IQ51" s="31"/>
      <c r="IR51" s="31"/>
      <c r="IS51" s="31"/>
      <c r="IT51" s="31"/>
      <c r="IU51" s="31"/>
      <c r="IV51" s="31"/>
      <c r="IW51" s="31"/>
      <c r="IX51" s="31"/>
      <c r="IY51" s="31"/>
      <c r="IZ51" s="31"/>
      <c r="JA51" s="31"/>
      <c r="JB51" s="31"/>
      <c r="JC51" s="31"/>
      <c r="JD51" s="31"/>
      <c r="JE51" s="31"/>
      <c r="JF51" s="31"/>
      <c r="JG51" s="31"/>
      <c r="JH51" s="31"/>
      <c r="JI51" s="31"/>
      <c r="JJ51" s="31"/>
      <c r="JK51" s="31"/>
      <c r="JL51" s="31"/>
      <c r="JM51" s="31"/>
      <c r="JN51" s="31"/>
      <c r="JO51" s="31"/>
      <c r="JP51" s="31"/>
      <c r="JQ51" s="31"/>
      <c r="JR51" s="31"/>
      <c r="JS51" s="31"/>
      <c r="JT51" s="31"/>
      <c r="JU51" s="31"/>
      <c r="JV51" s="31"/>
      <c r="JW51" s="31"/>
      <c r="JX51" s="31"/>
      <c r="JY51" s="31"/>
      <c r="JZ51" s="31"/>
      <c r="KA51" s="31"/>
      <c r="KB51" s="31"/>
      <c r="KC51" s="31"/>
      <c r="KD51" s="31"/>
      <c r="KE51" s="31"/>
      <c r="KF51" s="31"/>
      <c r="KG51" s="31"/>
      <c r="KH51" s="31"/>
      <c r="KI51" s="31"/>
      <c r="KJ51" s="31"/>
      <c r="KK51" s="31"/>
      <c r="KL51" s="31"/>
      <c r="KM51" s="31"/>
      <c r="KN51" s="31"/>
      <c r="KO51" s="31"/>
      <c r="KP51" s="31"/>
      <c r="KQ51" s="31"/>
      <c r="KR51" s="31"/>
      <c r="KS51" s="31"/>
      <c r="KT51" s="31"/>
      <c r="KU51" s="31"/>
      <c r="KV51" s="31"/>
      <c r="KW51" s="31"/>
      <c r="KX51" s="31"/>
      <c r="KY51" s="31"/>
      <c r="KZ51" s="31"/>
      <c r="LA51" s="31"/>
      <c r="LB51" s="31"/>
      <c r="LC51" s="31"/>
      <c r="LD51" s="31"/>
      <c r="LE51" s="31"/>
      <c r="LF51" s="31"/>
      <c r="LG51" s="31"/>
      <c r="LH51" s="31"/>
      <c r="LI51" s="31"/>
      <c r="LJ51" s="31"/>
      <c r="LK51" s="31"/>
      <c r="LL51" s="31"/>
      <c r="LM51" s="31"/>
      <c r="LN51" s="31"/>
      <c r="LO51" s="31"/>
      <c r="LP51" s="31"/>
      <c r="LQ51" s="31"/>
      <c r="LR51" s="31"/>
      <c r="LS51" s="31"/>
      <c r="LT51" s="31"/>
      <c r="LU51" s="31"/>
      <c r="LV51" s="31"/>
      <c r="LW51" s="31"/>
      <c r="LX51" s="31"/>
      <c r="LY51" s="31"/>
      <c r="LZ51" s="31"/>
      <c r="MA51" s="31"/>
      <c r="MB51" s="31"/>
      <c r="MC51" s="31"/>
      <c r="MD51" s="31"/>
      <c r="ME51" s="31"/>
      <c r="MF51" s="31"/>
    </row>
    <row r="52" spans="1:344" ht="57.75" customHeight="1">
      <c r="B52" s="186" t="str">
        <f>'OKR '!D91</f>
        <v>Definir parâmetros mínimos de utilização</v>
      </c>
      <c r="C52" s="186" t="str">
        <f>'OKR '!E91</f>
        <v>Equipe Microrregional, SES (Equipe da Telessaúde + NSDIGI), Núcleos de telessaúde</v>
      </c>
      <c r="D52" s="22"/>
      <c r="E52" s="187">
        <f>'OKR '!G91</f>
        <v>46113</v>
      </c>
      <c r="F52" s="187">
        <f>'OKR '!H91</f>
        <v>46173</v>
      </c>
      <c r="G52" s="14"/>
      <c r="H52" s="14">
        <f t="shared" ca="1" si="332"/>
        <v>61</v>
      </c>
      <c r="I52" s="31"/>
      <c r="J52" s="31"/>
      <c r="K52" s="31"/>
      <c r="L52" s="31"/>
      <c r="M52" s="31"/>
      <c r="N52" s="31"/>
      <c r="O52" s="31"/>
      <c r="P52" s="31"/>
      <c r="Q52" s="31"/>
      <c r="R52" s="31"/>
      <c r="S52" s="31"/>
      <c r="T52" s="31"/>
      <c r="U52" s="31"/>
      <c r="V52" s="31"/>
      <c r="W52" s="31"/>
      <c r="X52" s="31"/>
      <c r="Y52" s="32"/>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c r="EG52" s="31"/>
      <c r="EH52" s="31"/>
      <c r="EI52" s="31"/>
      <c r="EJ52" s="31"/>
      <c r="EK52" s="31"/>
      <c r="EL52" s="31"/>
      <c r="EM52" s="31"/>
      <c r="EN52" s="31"/>
      <c r="EO52" s="31"/>
      <c r="EP52" s="31"/>
      <c r="EQ52" s="31"/>
      <c r="ER52" s="31"/>
      <c r="ES52" s="31"/>
      <c r="ET52" s="31"/>
      <c r="EU52" s="31"/>
      <c r="EV52" s="31"/>
      <c r="EW52" s="31"/>
      <c r="EX52" s="31"/>
      <c r="EY52" s="31"/>
      <c r="EZ52" s="31"/>
      <c r="FA52" s="31"/>
      <c r="FB52" s="31"/>
      <c r="FC52" s="31"/>
      <c r="FD52" s="31"/>
      <c r="FE52" s="31"/>
      <c r="FF52" s="31"/>
      <c r="FG52" s="31"/>
      <c r="FH52" s="31"/>
      <c r="FI52" s="31"/>
      <c r="FJ52" s="31"/>
      <c r="FK52" s="31"/>
      <c r="FL52" s="31"/>
      <c r="FM52" s="31"/>
      <c r="FN52" s="31"/>
      <c r="FO52" s="31"/>
      <c r="FP52" s="31"/>
      <c r="FQ52" s="31"/>
      <c r="FR52" s="31"/>
      <c r="FS52" s="31"/>
      <c r="FT52" s="31"/>
      <c r="FU52" s="31"/>
      <c r="FV52" s="31"/>
      <c r="FW52" s="31"/>
      <c r="FX52" s="31"/>
      <c r="FY52" s="31"/>
      <c r="FZ52" s="31"/>
      <c r="GA52" s="31"/>
      <c r="GB52" s="31"/>
      <c r="GC52" s="31"/>
      <c r="GD52" s="31"/>
      <c r="GE52" s="31"/>
      <c r="GF52" s="31"/>
      <c r="GG52" s="31"/>
      <c r="GH52" s="31"/>
      <c r="GI52" s="31"/>
      <c r="GJ52" s="31"/>
      <c r="GK52" s="31"/>
      <c r="GL52" s="31"/>
      <c r="GM52" s="31"/>
      <c r="GN52" s="31"/>
      <c r="GO52" s="31"/>
      <c r="GP52" s="31"/>
      <c r="GQ52" s="31"/>
      <c r="GR52" s="31"/>
      <c r="GS52" s="31"/>
      <c r="GT52" s="31"/>
      <c r="GU52" s="31"/>
      <c r="GV52" s="31"/>
      <c r="GW52" s="31"/>
      <c r="GX52" s="31"/>
      <c r="GY52" s="31"/>
      <c r="GZ52" s="31"/>
      <c r="HA52" s="31"/>
      <c r="HB52" s="31"/>
      <c r="HC52" s="31"/>
      <c r="HD52" s="31"/>
      <c r="HE52" s="31"/>
      <c r="HF52" s="31"/>
      <c r="HG52" s="31"/>
      <c r="HH52" s="31"/>
      <c r="HI52" s="31"/>
      <c r="HJ52" s="31"/>
      <c r="HK52" s="31"/>
      <c r="HL52" s="31"/>
      <c r="HM52" s="31"/>
      <c r="HN52" s="31"/>
      <c r="HO52" s="31"/>
      <c r="HP52" s="31"/>
      <c r="HQ52" s="31"/>
      <c r="HR52" s="31"/>
      <c r="HS52" s="31"/>
      <c r="HT52" s="31"/>
      <c r="HU52" s="31"/>
      <c r="HV52" s="31"/>
      <c r="HW52" s="31"/>
      <c r="HX52" s="31"/>
      <c r="HY52" s="31"/>
      <c r="HZ52" s="31"/>
      <c r="IA52" s="31"/>
      <c r="IB52" s="31"/>
      <c r="IC52" s="31"/>
      <c r="ID52" s="31"/>
      <c r="IE52" s="31"/>
      <c r="IF52" s="31"/>
      <c r="IG52" s="31"/>
      <c r="IH52" s="31"/>
      <c r="II52" s="31"/>
      <c r="IJ52" s="31"/>
      <c r="IK52" s="31"/>
      <c r="IL52" s="31"/>
      <c r="IM52" s="31"/>
      <c r="IN52" s="31"/>
      <c r="IO52" s="31"/>
      <c r="IP52" s="31"/>
      <c r="IQ52" s="31"/>
      <c r="IR52" s="31"/>
      <c r="IS52" s="31"/>
      <c r="IT52" s="31"/>
      <c r="IU52" s="31"/>
      <c r="IV52" s="31"/>
      <c r="IW52" s="31"/>
      <c r="IX52" s="31"/>
      <c r="IY52" s="31"/>
      <c r="IZ52" s="31"/>
      <c r="JA52" s="31"/>
      <c r="JB52" s="31"/>
      <c r="JC52" s="31"/>
      <c r="JD52" s="31"/>
      <c r="JE52" s="31"/>
      <c r="JF52" s="31"/>
      <c r="JG52" s="31"/>
      <c r="JH52" s="31"/>
      <c r="JI52" s="31"/>
      <c r="JJ52" s="31"/>
      <c r="JK52" s="31"/>
      <c r="JL52" s="31"/>
      <c r="JM52" s="31"/>
      <c r="JN52" s="31"/>
      <c r="JO52" s="31"/>
      <c r="JP52" s="31"/>
      <c r="JQ52" s="31"/>
      <c r="JR52" s="31"/>
      <c r="JS52" s="31"/>
      <c r="JT52" s="31"/>
      <c r="JU52" s="31"/>
      <c r="JV52" s="31"/>
      <c r="JW52" s="31"/>
      <c r="JX52" s="31"/>
      <c r="JY52" s="31"/>
      <c r="JZ52" s="31"/>
      <c r="KA52" s="31"/>
      <c r="KB52" s="31"/>
      <c r="KC52" s="31"/>
      <c r="KD52" s="31"/>
      <c r="KE52" s="31"/>
      <c r="KF52" s="31"/>
      <c r="KG52" s="31"/>
      <c r="KH52" s="31"/>
      <c r="KI52" s="31"/>
      <c r="KJ52" s="31"/>
      <c r="KK52" s="31"/>
      <c r="KL52" s="31"/>
      <c r="KM52" s="31"/>
      <c r="KN52" s="31"/>
      <c r="KO52" s="31"/>
      <c r="KP52" s="31"/>
      <c r="KQ52" s="31"/>
      <c r="KR52" s="31"/>
      <c r="KS52" s="31"/>
      <c r="KT52" s="31"/>
      <c r="KU52" s="31"/>
      <c r="KV52" s="31"/>
      <c r="KW52" s="31"/>
      <c r="KX52" s="31"/>
      <c r="KY52" s="31"/>
      <c r="KZ52" s="31"/>
      <c r="LA52" s="31"/>
      <c r="LB52" s="31"/>
      <c r="LC52" s="31"/>
      <c r="LD52" s="31"/>
      <c r="LE52" s="31"/>
      <c r="LF52" s="31"/>
      <c r="LG52" s="31"/>
      <c r="LH52" s="31"/>
      <c r="LI52" s="31"/>
      <c r="LJ52" s="31"/>
      <c r="LK52" s="31"/>
      <c r="LL52" s="31"/>
      <c r="LM52" s="31"/>
      <c r="LN52" s="31"/>
      <c r="LO52" s="31"/>
      <c r="LP52" s="31"/>
      <c r="LQ52" s="31"/>
      <c r="LR52" s="31"/>
      <c r="LS52" s="31"/>
      <c r="LT52" s="31"/>
      <c r="LU52" s="31"/>
      <c r="LV52" s="31"/>
      <c r="LW52" s="31"/>
      <c r="LX52" s="31"/>
      <c r="LY52" s="31"/>
      <c r="LZ52" s="31"/>
      <c r="MA52" s="31"/>
      <c r="MB52" s="31"/>
      <c r="MC52" s="31"/>
      <c r="MD52" s="31"/>
      <c r="ME52" s="31"/>
      <c r="MF52" s="31"/>
    </row>
    <row r="53" spans="1:344" ht="57.75" customHeight="1">
      <c r="B53" s="186" t="str">
        <f>'OKR '!D92</f>
        <v>Definir indicadores de sucesso</v>
      </c>
      <c r="C53" s="186" t="str">
        <f>'OKR '!E92</f>
        <v>Equipe Microrregional, SES (Equipe da Telessaúde + NSDIGI), Núcleos de telessaúde</v>
      </c>
      <c r="D53" s="22"/>
      <c r="E53" s="187">
        <f>'OKR '!G92</f>
        <v>46113</v>
      </c>
      <c r="F53" s="187">
        <f>'OKR '!H92</f>
        <v>46173</v>
      </c>
      <c r="G53" s="14"/>
      <c r="H53" s="14">
        <f t="shared" ca="1" si="332"/>
        <v>61</v>
      </c>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c r="GG53" s="31"/>
      <c r="GH53" s="31"/>
      <c r="GI53" s="31"/>
      <c r="GJ53" s="31"/>
      <c r="GK53" s="31"/>
      <c r="GL53" s="31"/>
      <c r="GM53" s="31"/>
      <c r="GN53" s="31"/>
      <c r="GO53" s="31"/>
      <c r="GP53" s="31"/>
      <c r="GQ53" s="31"/>
      <c r="GR53" s="31"/>
      <c r="GS53" s="31"/>
      <c r="GT53" s="31"/>
      <c r="GU53" s="31"/>
      <c r="GV53" s="31"/>
      <c r="GW53" s="31"/>
      <c r="GX53" s="31"/>
      <c r="GY53" s="31"/>
      <c r="GZ53" s="31"/>
      <c r="HA53" s="31"/>
      <c r="HB53" s="31"/>
      <c r="HC53" s="31"/>
      <c r="HD53" s="31"/>
      <c r="HE53" s="31"/>
      <c r="HF53" s="31"/>
      <c r="HG53" s="31"/>
      <c r="HH53" s="31"/>
      <c r="HI53" s="31"/>
      <c r="HJ53" s="31"/>
      <c r="HK53" s="31"/>
      <c r="HL53" s="31"/>
      <c r="HM53" s="31"/>
      <c r="HN53" s="31"/>
      <c r="HO53" s="31"/>
      <c r="HP53" s="31"/>
      <c r="HQ53" s="31"/>
      <c r="HR53" s="31"/>
      <c r="HS53" s="31"/>
      <c r="HT53" s="31"/>
      <c r="HU53" s="31"/>
      <c r="HV53" s="31"/>
      <c r="HW53" s="31"/>
      <c r="HX53" s="31"/>
      <c r="HY53" s="31"/>
      <c r="HZ53" s="31"/>
      <c r="IA53" s="31"/>
      <c r="IB53" s="31"/>
      <c r="IC53" s="31"/>
      <c r="ID53" s="31"/>
      <c r="IE53" s="31"/>
      <c r="IF53" s="31"/>
      <c r="IG53" s="31"/>
      <c r="IH53" s="31"/>
      <c r="II53" s="31"/>
      <c r="IJ53" s="31"/>
      <c r="IK53" s="31"/>
      <c r="IL53" s="31"/>
      <c r="IM53" s="31"/>
      <c r="IN53" s="31"/>
      <c r="IO53" s="31"/>
      <c r="IP53" s="31"/>
      <c r="IQ53" s="31"/>
      <c r="IR53" s="31"/>
      <c r="IS53" s="31"/>
      <c r="IT53" s="31"/>
      <c r="IU53" s="31"/>
      <c r="IV53" s="31"/>
      <c r="IW53" s="31"/>
      <c r="IX53" s="31"/>
      <c r="IY53" s="31"/>
      <c r="IZ53" s="31"/>
      <c r="JA53" s="31"/>
      <c r="JB53" s="31"/>
      <c r="JC53" s="31"/>
      <c r="JD53" s="31"/>
      <c r="JE53" s="31"/>
      <c r="JF53" s="31"/>
      <c r="JG53" s="31"/>
      <c r="JH53" s="31"/>
      <c r="JI53" s="31"/>
      <c r="JJ53" s="31"/>
      <c r="JK53" s="31"/>
      <c r="JL53" s="31"/>
      <c r="JM53" s="31"/>
      <c r="JN53" s="31"/>
      <c r="JO53" s="31"/>
      <c r="JP53" s="31"/>
      <c r="JQ53" s="31"/>
      <c r="JR53" s="31"/>
      <c r="JS53" s="31"/>
      <c r="JT53" s="31"/>
      <c r="JU53" s="31"/>
      <c r="JV53" s="31"/>
      <c r="JW53" s="31"/>
      <c r="JX53" s="31"/>
      <c r="JY53" s="31"/>
      <c r="JZ53" s="31"/>
      <c r="KA53" s="31"/>
      <c r="KB53" s="31"/>
      <c r="KC53" s="31"/>
      <c r="KD53" s="31"/>
      <c r="KE53" s="31"/>
      <c r="KF53" s="31"/>
      <c r="KG53" s="31"/>
      <c r="KH53" s="31"/>
      <c r="KI53" s="31"/>
      <c r="KJ53" s="31"/>
      <c r="KK53" s="31"/>
      <c r="KL53" s="31"/>
      <c r="KM53" s="31"/>
      <c r="KN53" s="31"/>
      <c r="KO53" s="31"/>
      <c r="KP53" s="31"/>
      <c r="KQ53" s="31"/>
      <c r="KR53" s="31"/>
      <c r="KS53" s="31"/>
      <c r="KT53" s="31"/>
      <c r="KU53" s="31"/>
      <c r="KV53" s="31"/>
      <c r="KW53" s="31"/>
      <c r="KX53" s="31"/>
      <c r="KY53" s="31"/>
      <c r="KZ53" s="31"/>
      <c r="LA53" s="31"/>
      <c r="LB53" s="31"/>
      <c r="LC53" s="31"/>
      <c r="LD53" s="31"/>
      <c r="LE53" s="31"/>
      <c r="LF53" s="31"/>
      <c r="LG53" s="31"/>
      <c r="LH53" s="31"/>
      <c r="LI53" s="31"/>
      <c r="LJ53" s="31"/>
      <c r="LK53" s="31"/>
      <c r="LL53" s="31"/>
      <c r="LM53" s="31"/>
      <c r="LN53" s="31"/>
      <c r="LO53" s="31"/>
      <c r="LP53" s="31"/>
      <c r="LQ53" s="31"/>
      <c r="LR53" s="31"/>
      <c r="LS53" s="31"/>
      <c r="LT53" s="31"/>
      <c r="LU53" s="31"/>
      <c r="LV53" s="31"/>
      <c r="LW53" s="31"/>
      <c r="LX53" s="31"/>
      <c r="LY53" s="31"/>
      <c r="LZ53" s="31"/>
      <c r="MA53" s="31"/>
      <c r="MB53" s="31"/>
      <c r="MC53" s="31"/>
      <c r="MD53" s="31"/>
      <c r="ME53" s="31"/>
      <c r="MF53" s="31"/>
    </row>
    <row r="54" spans="1:344" ht="45" customHeight="1">
      <c r="B54" s="186" t="str">
        <f>'OKR '!D93</f>
        <v>Elaborar a estratégia microrregional alinhada com as diretrizes estaduais</v>
      </c>
      <c r="C54" s="186" t="str">
        <f>'OKR '!E93</f>
        <v>Equipe Microrregional</v>
      </c>
      <c r="D54" s="22"/>
      <c r="E54" s="187">
        <f>'OKR '!G93</f>
        <v>46113</v>
      </c>
      <c r="F54" s="187">
        <f>'OKR '!H93</f>
        <v>46234</v>
      </c>
      <c r="G54" s="14"/>
      <c r="H54" s="14"/>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c r="EG54" s="31"/>
      <c r="EH54" s="31"/>
      <c r="EI54" s="31"/>
      <c r="EJ54" s="31"/>
      <c r="EK54" s="31"/>
      <c r="EL54" s="31"/>
      <c r="EM54" s="31"/>
      <c r="EN54" s="31"/>
      <c r="EO54" s="31"/>
      <c r="EP54" s="31"/>
      <c r="EQ54" s="31"/>
      <c r="ER54" s="31"/>
      <c r="ES54" s="31"/>
      <c r="ET54" s="31"/>
      <c r="EU54" s="31"/>
      <c r="EV54" s="31"/>
      <c r="EW54" s="31"/>
      <c r="EX54" s="31"/>
      <c r="EY54" s="31"/>
      <c r="EZ54" s="31"/>
      <c r="FA54" s="31"/>
      <c r="FB54" s="31"/>
      <c r="FC54" s="31"/>
      <c r="FD54" s="31"/>
      <c r="FE54" s="31"/>
      <c r="FF54" s="31"/>
      <c r="FG54" s="31"/>
      <c r="FH54" s="31"/>
      <c r="FI54" s="31"/>
      <c r="FJ54" s="31"/>
      <c r="FK54" s="31"/>
      <c r="FL54" s="31"/>
      <c r="FM54" s="31"/>
      <c r="FN54" s="31"/>
      <c r="FO54" s="31"/>
      <c r="FP54" s="31"/>
      <c r="FQ54" s="31"/>
      <c r="FR54" s="31"/>
      <c r="FS54" s="31"/>
      <c r="FT54" s="31"/>
      <c r="FU54" s="31"/>
      <c r="FV54" s="31"/>
      <c r="FW54" s="31"/>
      <c r="FX54" s="31"/>
      <c r="FY54" s="31"/>
      <c r="FZ54" s="31"/>
      <c r="GA54" s="31"/>
      <c r="GB54" s="31"/>
      <c r="GC54" s="31"/>
      <c r="GD54" s="31"/>
      <c r="GE54" s="31"/>
      <c r="GF54" s="31"/>
      <c r="GG54" s="31"/>
      <c r="GH54" s="31"/>
      <c r="GI54" s="31"/>
      <c r="GJ54" s="31"/>
      <c r="GK54" s="31"/>
      <c r="GL54" s="31"/>
      <c r="GM54" s="31"/>
      <c r="GN54" s="31"/>
      <c r="GO54" s="31"/>
      <c r="GP54" s="31"/>
      <c r="GQ54" s="31"/>
      <c r="GR54" s="31"/>
      <c r="GS54" s="31"/>
      <c r="GT54" s="31"/>
      <c r="GU54" s="31"/>
      <c r="GV54" s="31"/>
      <c r="GW54" s="31"/>
      <c r="GX54" s="31"/>
      <c r="GY54" s="31"/>
      <c r="GZ54" s="31"/>
      <c r="HA54" s="31"/>
      <c r="HB54" s="31"/>
      <c r="HC54" s="31"/>
      <c r="HD54" s="31"/>
      <c r="HE54" s="31"/>
      <c r="HF54" s="31"/>
      <c r="HG54" s="31"/>
      <c r="HH54" s="31"/>
      <c r="HI54" s="31"/>
      <c r="HJ54" s="31"/>
      <c r="HK54" s="31"/>
      <c r="HL54" s="31"/>
      <c r="HM54" s="31"/>
      <c r="HN54" s="31"/>
      <c r="HO54" s="31"/>
      <c r="HP54" s="31"/>
      <c r="HQ54" s="31"/>
      <c r="HR54" s="31"/>
      <c r="HS54" s="31"/>
      <c r="HT54" s="31"/>
      <c r="HU54" s="31"/>
      <c r="HV54" s="31"/>
      <c r="HW54" s="31"/>
      <c r="HX54" s="31"/>
      <c r="HY54" s="31"/>
      <c r="HZ54" s="31"/>
      <c r="IA54" s="31"/>
      <c r="IB54" s="31"/>
      <c r="IC54" s="31"/>
      <c r="ID54" s="31"/>
      <c r="IE54" s="31"/>
      <c r="IF54" s="31"/>
      <c r="IG54" s="31"/>
      <c r="IH54" s="31"/>
      <c r="II54" s="31"/>
      <c r="IJ54" s="31"/>
      <c r="IK54" s="31"/>
      <c r="IL54" s="31"/>
      <c r="IM54" s="31"/>
      <c r="IN54" s="31"/>
      <c r="IO54" s="31"/>
      <c r="IP54" s="31"/>
      <c r="IQ54" s="31"/>
      <c r="IR54" s="31"/>
      <c r="IS54" s="31"/>
      <c r="IT54" s="31"/>
      <c r="IU54" s="31"/>
      <c r="IV54" s="31"/>
      <c r="IW54" s="31"/>
      <c r="IX54" s="31"/>
      <c r="IY54" s="31"/>
      <c r="IZ54" s="31"/>
      <c r="JA54" s="31"/>
      <c r="JB54" s="31"/>
      <c r="JC54" s="31"/>
      <c r="JD54" s="31"/>
      <c r="JE54" s="31"/>
      <c r="JF54" s="31"/>
      <c r="JG54" s="31"/>
      <c r="JH54" s="31"/>
      <c r="JI54" s="31"/>
      <c r="JJ54" s="31"/>
      <c r="JK54" s="31"/>
      <c r="JL54" s="31"/>
      <c r="JM54" s="31"/>
      <c r="JN54" s="31"/>
      <c r="JO54" s="31"/>
      <c r="JP54" s="31"/>
      <c r="JQ54" s="31"/>
      <c r="JR54" s="31"/>
      <c r="JS54" s="31"/>
      <c r="JT54" s="31"/>
      <c r="JU54" s="31"/>
      <c r="JV54" s="31"/>
      <c r="JW54" s="31"/>
      <c r="JX54" s="31"/>
      <c r="JY54" s="31"/>
      <c r="JZ54" s="31"/>
      <c r="KA54" s="31"/>
      <c r="KB54" s="31"/>
      <c r="KC54" s="31"/>
      <c r="KD54" s="31"/>
      <c r="KE54" s="31"/>
      <c r="KF54" s="31"/>
      <c r="KG54" s="31"/>
      <c r="KH54" s="31"/>
      <c r="KI54" s="31"/>
      <c r="KJ54" s="31"/>
      <c r="KK54" s="31"/>
      <c r="KL54" s="31"/>
      <c r="KM54" s="31"/>
      <c r="KN54" s="31"/>
      <c r="KO54" s="31"/>
      <c r="KP54" s="31"/>
      <c r="KQ54" s="31"/>
      <c r="KR54" s="31"/>
      <c r="KS54" s="31"/>
      <c r="KT54" s="31"/>
      <c r="KU54" s="31"/>
      <c r="KV54" s="31"/>
      <c r="KW54" s="31"/>
      <c r="KX54" s="31"/>
      <c r="KY54" s="31"/>
      <c r="KZ54" s="31"/>
      <c r="LA54" s="31"/>
      <c r="LB54" s="31"/>
      <c r="LC54" s="31"/>
      <c r="LD54" s="31"/>
      <c r="LE54" s="31"/>
      <c r="LF54" s="31"/>
      <c r="LG54" s="31"/>
      <c r="LH54" s="31"/>
      <c r="LI54" s="31"/>
      <c r="LJ54" s="31"/>
      <c r="LK54" s="31"/>
      <c r="LL54" s="31"/>
      <c r="LM54" s="31"/>
      <c r="LN54" s="31"/>
      <c r="LO54" s="31"/>
      <c r="LP54" s="31"/>
      <c r="LQ54" s="31"/>
      <c r="LR54" s="31"/>
      <c r="LS54" s="31"/>
      <c r="LT54" s="31"/>
      <c r="LU54" s="31"/>
      <c r="LV54" s="31"/>
      <c r="LW54" s="31"/>
      <c r="LX54" s="31"/>
      <c r="LY54" s="31"/>
      <c r="LZ54" s="31"/>
      <c r="MA54" s="31"/>
      <c r="MB54" s="31"/>
      <c r="MC54" s="31"/>
      <c r="MD54" s="31"/>
      <c r="ME54" s="31"/>
      <c r="MF54" s="31"/>
    </row>
    <row r="55" spans="1:344" ht="30" customHeight="1">
      <c r="B55" s="186" t="str">
        <f>'OKR '!D94</f>
        <v>Executar avaliação trimestral</v>
      </c>
      <c r="C55" s="186" t="str">
        <f>'OKR '!E94</f>
        <v>Equipe Microrregional</v>
      </c>
      <c r="D55" s="22"/>
      <c r="E55" s="187">
        <f>'OKR '!G94</f>
        <v>46204</v>
      </c>
      <c r="F55" s="187">
        <f>'OKR '!H94</f>
        <v>46234</v>
      </c>
      <c r="G55" s="14"/>
      <c r="H55" s="14"/>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c r="EG55" s="31"/>
      <c r="EH55" s="31"/>
      <c r="EI55" s="31"/>
      <c r="EJ55" s="31"/>
      <c r="EK55" s="31"/>
      <c r="EL55" s="31"/>
      <c r="EM55" s="31"/>
      <c r="EN55" s="31"/>
      <c r="EO55" s="31"/>
      <c r="EP55" s="31"/>
      <c r="EQ55" s="31"/>
      <c r="ER55" s="31"/>
      <c r="ES55" s="31"/>
      <c r="ET55" s="31"/>
      <c r="EU55" s="31"/>
      <c r="EV55" s="31"/>
      <c r="EW55" s="31"/>
      <c r="EX55" s="31"/>
      <c r="EY55" s="31"/>
      <c r="EZ55" s="31"/>
      <c r="FA55" s="31"/>
      <c r="FB55" s="31"/>
      <c r="FC55" s="31"/>
      <c r="FD55" s="31"/>
      <c r="FE55" s="31"/>
      <c r="FF55" s="31"/>
      <c r="FG55" s="31"/>
      <c r="FH55" s="31"/>
      <c r="FI55" s="31"/>
      <c r="FJ55" s="31"/>
      <c r="FK55" s="31"/>
      <c r="FL55" s="31"/>
      <c r="FM55" s="31"/>
      <c r="FN55" s="31"/>
      <c r="FO55" s="31"/>
      <c r="FP55" s="31"/>
      <c r="FQ55" s="31"/>
      <c r="FR55" s="31"/>
      <c r="FS55" s="31"/>
      <c r="FT55" s="31"/>
      <c r="FU55" s="31"/>
      <c r="FV55" s="31"/>
      <c r="FW55" s="31"/>
      <c r="FX55" s="31"/>
      <c r="FY55" s="31"/>
      <c r="FZ55" s="31"/>
      <c r="GA55" s="31"/>
      <c r="GB55" s="31"/>
      <c r="GC55" s="31"/>
      <c r="GD55" s="31"/>
      <c r="GE55" s="31"/>
      <c r="GF55" s="31"/>
      <c r="GG55" s="31"/>
      <c r="GH55" s="31"/>
      <c r="GI55" s="31"/>
      <c r="GJ55" s="31"/>
      <c r="GK55" s="31"/>
      <c r="GL55" s="31"/>
      <c r="GM55" s="31"/>
      <c r="GN55" s="31"/>
      <c r="GO55" s="31"/>
      <c r="GP55" s="31"/>
      <c r="GQ55" s="31"/>
      <c r="GR55" s="31"/>
      <c r="GS55" s="31"/>
      <c r="GT55" s="31"/>
      <c r="GU55" s="31"/>
      <c r="GV55" s="31"/>
      <c r="GW55" s="31"/>
      <c r="GX55" s="31"/>
      <c r="GY55" s="31"/>
      <c r="GZ55" s="31"/>
      <c r="HA55" s="31"/>
      <c r="HB55" s="31"/>
      <c r="HC55" s="31"/>
      <c r="HD55" s="31"/>
      <c r="HE55" s="31"/>
      <c r="HF55" s="31"/>
      <c r="HG55" s="31"/>
      <c r="HH55" s="31"/>
      <c r="HI55" s="31"/>
      <c r="HJ55" s="31"/>
      <c r="HK55" s="31"/>
      <c r="HL55" s="31"/>
      <c r="HM55" s="31"/>
      <c r="HN55" s="31"/>
      <c r="HO55" s="31"/>
      <c r="HP55" s="31"/>
      <c r="HQ55" s="31"/>
      <c r="HR55" s="31"/>
      <c r="HS55" s="31"/>
      <c r="HT55" s="31"/>
      <c r="HU55" s="31"/>
      <c r="HV55" s="31"/>
      <c r="HW55" s="31"/>
      <c r="HX55" s="31"/>
      <c r="HY55" s="31"/>
      <c r="HZ55" s="31"/>
      <c r="IA55" s="31"/>
      <c r="IB55" s="31"/>
      <c r="IC55" s="31"/>
      <c r="ID55" s="31"/>
      <c r="IE55" s="31"/>
      <c r="IF55" s="31"/>
      <c r="IG55" s="31"/>
      <c r="IH55" s="31"/>
      <c r="II55" s="31"/>
      <c r="IJ55" s="31"/>
      <c r="IK55" s="31"/>
      <c r="IL55" s="31"/>
      <c r="IM55" s="31"/>
      <c r="IN55" s="31"/>
      <c r="IO55" s="31"/>
      <c r="IP55" s="31"/>
      <c r="IQ55" s="31"/>
      <c r="IR55" s="31"/>
      <c r="IS55" s="31"/>
      <c r="IT55" s="31"/>
      <c r="IU55" s="31"/>
      <c r="IV55" s="31"/>
      <c r="IW55" s="31"/>
      <c r="IX55" s="31"/>
      <c r="IY55" s="31"/>
      <c r="IZ55" s="31"/>
      <c r="JA55" s="31"/>
      <c r="JB55" s="31"/>
      <c r="JC55" s="31"/>
      <c r="JD55" s="31"/>
      <c r="JE55" s="31"/>
      <c r="JF55" s="31"/>
      <c r="JG55" s="31"/>
      <c r="JH55" s="31"/>
      <c r="JI55" s="31"/>
      <c r="JJ55" s="31"/>
      <c r="JK55" s="31"/>
      <c r="JL55" s="31"/>
      <c r="JM55" s="31"/>
      <c r="JN55" s="31"/>
      <c r="JO55" s="31"/>
      <c r="JP55" s="31"/>
      <c r="JQ55" s="31"/>
      <c r="JR55" s="31"/>
      <c r="JS55" s="31"/>
      <c r="JT55" s="31"/>
      <c r="JU55" s="31"/>
      <c r="JV55" s="31"/>
      <c r="JW55" s="31"/>
      <c r="JX55" s="31"/>
      <c r="JY55" s="31"/>
      <c r="JZ55" s="31"/>
      <c r="KA55" s="31"/>
      <c r="KB55" s="31"/>
      <c r="KC55" s="31"/>
      <c r="KD55" s="31"/>
      <c r="KE55" s="31"/>
      <c r="KF55" s="31"/>
      <c r="KG55" s="31"/>
      <c r="KH55" s="31"/>
      <c r="KI55" s="31"/>
      <c r="KJ55" s="31"/>
      <c r="KK55" s="31"/>
      <c r="KL55" s="31"/>
      <c r="KM55" s="31"/>
      <c r="KN55" s="31"/>
      <c r="KO55" s="31"/>
      <c r="KP55" s="31"/>
      <c r="KQ55" s="31"/>
      <c r="KR55" s="31"/>
      <c r="KS55" s="31"/>
      <c r="KT55" s="31"/>
      <c r="KU55" s="31"/>
      <c r="KV55" s="31"/>
      <c r="KW55" s="31"/>
      <c r="KX55" s="31"/>
      <c r="KY55" s="31"/>
      <c r="KZ55" s="31"/>
      <c r="LA55" s="31"/>
      <c r="LB55" s="31"/>
      <c r="LC55" s="31"/>
      <c r="LD55" s="31"/>
      <c r="LE55" s="31"/>
      <c r="LF55" s="31"/>
      <c r="LG55" s="31"/>
      <c r="LH55" s="31"/>
      <c r="LI55" s="31"/>
      <c r="LJ55" s="31"/>
      <c r="LK55" s="31"/>
      <c r="LL55" s="31"/>
      <c r="LM55" s="31"/>
      <c r="LN55" s="31"/>
      <c r="LO55" s="31"/>
      <c r="LP55" s="31"/>
      <c r="LQ55" s="31"/>
      <c r="LR55" s="31"/>
      <c r="LS55" s="31"/>
      <c r="LT55" s="31"/>
      <c r="LU55" s="31"/>
      <c r="LV55" s="31"/>
      <c r="LW55" s="31"/>
      <c r="LX55" s="31"/>
      <c r="LY55" s="31"/>
      <c r="LZ55" s="31"/>
      <c r="MA55" s="31"/>
      <c r="MB55" s="31"/>
      <c r="MC55" s="31"/>
      <c r="MD55" s="31"/>
      <c r="ME55" s="31"/>
      <c r="MF55" s="31"/>
    </row>
    <row r="56" spans="1:344" ht="15" hidden="1" customHeight="1">
      <c r="B56" s="119">
        <f>'OKR '!D95</f>
        <v>0</v>
      </c>
      <c r="C56" s="119">
        <f>'OKR '!E95</f>
        <v>0</v>
      </c>
      <c r="D56" s="17"/>
      <c r="E56" s="72">
        <f>'OKR '!G95</f>
        <v>0</v>
      </c>
      <c r="F56" s="72">
        <f>'OKR '!H95</f>
        <v>0</v>
      </c>
      <c r="G56" s="14"/>
      <c r="H56" s="14"/>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c r="GG56" s="31"/>
      <c r="GH56" s="31"/>
      <c r="GI56" s="31"/>
      <c r="GJ56" s="31"/>
      <c r="GK56" s="31"/>
      <c r="GL56" s="31"/>
      <c r="GM56" s="31"/>
      <c r="GN56" s="31"/>
      <c r="GO56" s="31"/>
      <c r="GP56" s="31"/>
      <c r="GQ56" s="31"/>
      <c r="GR56" s="31"/>
      <c r="GS56" s="31"/>
      <c r="GT56" s="31"/>
      <c r="GU56" s="31"/>
      <c r="GV56" s="31"/>
      <c r="GW56" s="31"/>
      <c r="GX56" s="31"/>
      <c r="GY56" s="31"/>
      <c r="GZ56" s="31"/>
      <c r="HA56" s="31"/>
      <c r="HB56" s="31"/>
      <c r="HC56" s="31"/>
      <c r="HD56" s="31"/>
      <c r="HE56" s="31"/>
      <c r="HF56" s="31"/>
      <c r="HG56" s="31"/>
      <c r="HH56" s="31"/>
      <c r="HI56" s="31"/>
      <c r="HJ56" s="31"/>
      <c r="HK56" s="31"/>
      <c r="HL56" s="31"/>
      <c r="HM56" s="31"/>
      <c r="HN56" s="31"/>
      <c r="HO56" s="31"/>
      <c r="HP56" s="31"/>
      <c r="HQ56" s="31"/>
      <c r="HR56" s="31"/>
      <c r="HS56" s="31"/>
      <c r="HT56" s="31"/>
      <c r="HU56" s="31"/>
      <c r="HV56" s="31"/>
      <c r="HW56" s="31"/>
      <c r="HX56" s="31"/>
      <c r="HY56" s="31"/>
      <c r="HZ56" s="31"/>
      <c r="IA56" s="31"/>
      <c r="IB56" s="31"/>
      <c r="IC56" s="31"/>
      <c r="ID56" s="31"/>
      <c r="IE56" s="31"/>
      <c r="IF56" s="31"/>
      <c r="IG56" s="31"/>
      <c r="IH56" s="31"/>
      <c r="II56" s="31"/>
      <c r="IJ56" s="31"/>
      <c r="IK56" s="31"/>
      <c r="IL56" s="31"/>
      <c r="IM56" s="31"/>
      <c r="IN56" s="31"/>
      <c r="IO56" s="31"/>
      <c r="IP56" s="31"/>
      <c r="IQ56" s="31"/>
      <c r="IR56" s="31"/>
      <c r="IS56" s="31"/>
      <c r="IT56" s="31"/>
      <c r="IU56" s="31"/>
      <c r="IV56" s="31"/>
      <c r="IW56" s="31"/>
      <c r="IX56" s="31"/>
      <c r="IY56" s="31"/>
      <c r="IZ56" s="31"/>
      <c r="JA56" s="31"/>
      <c r="JB56" s="31"/>
      <c r="JC56" s="31"/>
      <c r="JD56" s="31"/>
      <c r="JE56" s="31"/>
      <c r="JF56" s="31"/>
      <c r="JG56" s="31"/>
      <c r="JH56" s="31"/>
      <c r="JI56" s="31"/>
      <c r="JJ56" s="31"/>
      <c r="JK56" s="31"/>
      <c r="JL56" s="31"/>
      <c r="JM56" s="31"/>
      <c r="JN56" s="31"/>
      <c r="JO56" s="31"/>
      <c r="JP56" s="31"/>
      <c r="JQ56" s="31"/>
      <c r="JR56" s="31"/>
      <c r="JS56" s="31"/>
      <c r="JT56" s="31"/>
      <c r="JU56" s="31"/>
      <c r="JV56" s="31"/>
      <c r="JW56" s="31"/>
      <c r="JX56" s="31"/>
      <c r="JY56" s="31"/>
      <c r="JZ56" s="31"/>
      <c r="KA56" s="31"/>
      <c r="KB56" s="31"/>
      <c r="KC56" s="31"/>
      <c r="KD56" s="31"/>
      <c r="KE56" s="31"/>
      <c r="KF56" s="31"/>
      <c r="KG56" s="31"/>
      <c r="KH56" s="31"/>
      <c r="KI56" s="31"/>
      <c r="KJ56" s="31"/>
      <c r="KK56" s="31"/>
      <c r="KL56" s="31"/>
      <c r="KM56" s="31"/>
      <c r="KN56" s="31"/>
      <c r="KO56" s="31"/>
      <c r="KP56" s="31"/>
      <c r="KQ56" s="31"/>
      <c r="KR56" s="31"/>
      <c r="KS56" s="31"/>
      <c r="KT56" s="31"/>
      <c r="KU56" s="31"/>
      <c r="KV56" s="31"/>
      <c r="KW56" s="31"/>
      <c r="KX56" s="31"/>
      <c r="KY56" s="31"/>
      <c r="KZ56" s="31"/>
      <c r="LA56" s="31"/>
      <c r="LB56" s="31"/>
      <c r="LC56" s="31"/>
      <c r="LD56" s="31"/>
      <c r="LE56" s="31"/>
      <c r="LF56" s="31"/>
      <c r="LG56" s="31"/>
      <c r="LH56" s="31"/>
      <c r="LI56" s="31"/>
      <c r="LJ56" s="31"/>
      <c r="LK56" s="31"/>
      <c r="LL56" s="31"/>
      <c r="LM56" s="31"/>
      <c r="LN56" s="31"/>
      <c r="LO56" s="31"/>
      <c r="LP56" s="31"/>
      <c r="LQ56" s="31"/>
      <c r="LR56" s="31"/>
      <c r="LS56" s="31"/>
      <c r="LT56" s="31"/>
      <c r="LU56" s="31"/>
      <c r="LV56" s="31"/>
      <c r="LW56" s="31"/>
      <c r="LX56" s="31"/>
      <c r="LY56" s="31"/>
      <c r="LZ56" s="31"/>
      <c r="MA56" s="31"/>
      <c r="MB56" s="31"/>
      <c r="MC56" s="31"/>
      <c r="MD56" s="31"/>
      <c r="ME56" s="31"/>
      <c r="MF56" s="31"/>
    </row>
    <row r="57" spans="1:344" ht="15" hidden="1" customHeight="1">
      <c r="B57" s="119">
        <f>'OKR '!D96</f>
        <v>0</v>
      </c>
      <c r="C57" s="119">
        <f>'OKR '!E97</f>
        <v>0</v>
      </c>
      <c r="D57" s="17"/>
      <c r="E57" s="72">
        <f>'OKR '!G97</f>
        <v>0</v>
      </c>
      <c r="F57" s="72">
        <f>'OKR '!H97</f>
        <v>0</v>
      </c>
      <c r="G57" s="14"/>
      <c r="H57" s="14"/>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c r="GG57" s="31"/>
      <c r="GH57" s="31"/>
      <c r="GI57" s="31"/>
      <c r="GJ57" s="31"/>
      <c r="GK57" s="31"/>
      <c r="GL57" s="31"/>
      <c r="GM57" s="31"/>
      <c r="GN57" s="31"/>
      <c r="GO57" s="31"/>
      <c r="GP57" s="31"/>
      <c r="GQ57" s="31"/>
      <c r="GR57" s="31"/>
      <c r="GS57" s="31"/>
      <c r="GT57" s="31"/>
      <c r="GU57" s="31"/>
      <c r="GV57" s="31"/>
      <c r="GW57" s="31"/>
      <c r="GX57" s="31"/>
      <c r="GY57" s="31"/>
      <c r="GZ57" s="31"/>
      <c r="HA57" s="31"/>
      <c r="HB57" s="31"/>
      <c r="HC57" s="31"/>
      <c r="HD57" s="31"/>
      <c r="HE57" s="31"/>
      <c r="HF57" s="31"/>
      <c r="HG57" s="31"/>
      <c r="HH57" s="31"/>
      <c r="HI57" s="31"/>
      <c r="HJ57" s="31"/>
      <c r="HK57" s="31"/>
      <c r="HL57" s="31"/>
      <c r="HM57" s="31"/>
      <c r="HN57" s="31"/>
      <c r="HO57" s="31"/>
      <c r="HP57" s="31"/>
      <c r="HQ57" s="31"/>
      <c r="HR57" s="31"/>
      <c r="HS57" s="31"/>
      <c r="HT57" s="31"/>
      <c r="HU57" s="31"/>
      <c r="HV57" s="31"/>
      <c r="HW57" s="31"/>
      <c r="HX57" s="31"/>
      <c r="HY57" s="31"/>
      <c r="HZ57" s="31"/>
      <c r="IA57" s="31"/>
      <c r="IB57" s="31"/>
      <c r="IC57" s="31"/>
      <c r="ID57" s="31"/>
      <c r="IE57" s="31"/>
      <c r="IF57" s="31"/>
      <c r="IG57" s="31"/>
      <c r="IH57" s="31"/>
      <c r="II57" s="31"/>
      <c r="IJ57" s="31"/>
      <c r="IK57" s="31"/>
      <c r="IL57" s="31"/>
      <c r="IM57" s="31"/>
      <c r="IN57" s="31"/>
      <c r="IO57" s="31"/>
      <c r="IP57" s="31"/>
      <c r="IQ57" s="31"/>
      <c r="IR57" s="31"/>
      <c r="IS57" s="31"/>
      <c r="IT57" s="31"/>
      <c r="IU57" s="31"/>
      <c r="IV57" s="31"/>
      <c r="IW57" s="31"/>
      <c r="IX57" s="31"/>
      <c r="IY57" s="31"/>
      <c r="IZ57" s="31"/>
      <c r="JA57" s="31"/>
      <c r="JB57" s="31"/>
      <c r="JC57" s="31"/>
      <c r="JD57" s="31"/>
      <c r="JE57" s="31"/>
      <c r="JF57" s="31"/>
      <c r="JG57" s="31"/>
      <c r="JH57" s="31"/>
      <c r="JI57" s="31"/>
      <c r="JJ57" s="31"/>
      <c r="JK57" s="31"/>
      <c r="JL57" s="31"/>
      <c r="JM57" s="31"/>
      <c r="JN57" s="31"/>
      <c r="JO57" s="31"/>
      <c r="JP57" s="31"/>
      <c r="JQ57" s="31"/>
      <c r="JR57" s="31"/>
      <c r="JS57" s="31"/>
      <c r="JT57" s="31"/>
      <c r="JU57" s="31"/>
      <c r="JV57" s="31"/>
      <c r="JW57" s="31"/>
      <c r="JX57" s="31"/>
      <c r="JY57" s="31"/>
      <c r="JZ57" s="31"/>
      <c r="KA57" s="31"/>
      <c r="KB57" s="31"/>
      <c r="KC57" s="31"/>
      <c r="KD57" s="31"/>
      <c r="KE57" s="31"/>
      <c r="KF57" s="31"/>
      <c r="KG57" s="31"/>
      <c r="KH57" s="31"/>
      <c r="KI57" s="31"/>
      <c r="KJ57" s="31"/>
      <c r="KK57" s="31"/>
      <c r="KL57" s="31"/>
      <c r="KM57" s="31"/>
      <c r="KN57" s="31"/>
      <c r="KO57" s="31"/>
      <c r="KP57" s="31"/>
      <c r="KQ57" s="31"/>
      <c r="KR57" s="31"/>
      <c r="KS57" s="31"/>
      <c r="KT57" s="31"/>
      <c r="KU57" s="31"/>
      <c r="KV57" s="31"/>
      <c r="KW57" s="31"/>
      <c r="KX57" s="31"/>
      <c r="KY57" s="31"/>
      <c r="KZ57" s="31"/>
      <c r="LA57" s="31"/>
      <c r="LB57" s="31"/>
      <c r="LC57" s="31"/>
      <c r="LD57" s="31"/>
      <c r="LE57" s="31"/>
      <c r="LF57" s="31"/>
      <c r="LG57" s="31"/>
      <c r="LH57" s="31"/>
      <c r="LI57" s="31"/>
      <c r="LJ57" s="31"/>
      <c r="LK57" s="31"/>
      <c r="LL57" s="31"/>
      <c r="LM57" s="31"/>
      <c r="LN57" s="31"/>
      <c r="LO57" s="31"/>
      <c r="LP57" s="31"/>
      <c r="LQ57" s="31"/>
      <c r="LR57" s="31"/>
      <c r="LS57" s="31"/>
      <c r="LT57" s="31"/>
      <c r="LU57" s="31"/>
      <c r="LV57" s="31"/>
      <c r="LW57" s="31"/>
      <c r="LX57" s="31"/>
      <c r="LY57" s="31"/>
      <c r="LZ57" s="31"/>
      <c r="MA57" s="31"/>
      <c r="MB57" s="31"/>
      <c r="MC57" s="31"/>
      <c r="MD57" s="31"/>
      <c r="ME57" s="31"/>
      <c r="MF57" s="31"/>
    </row>
    <row r="58" spans="1:344" ht="30" customHeight="1">
      <c r="A58" s="46" t="s">
        <v>169</v>
      </c>
      <c r="B58" s="266" t="str">
        <f>'OKR '!D104</f>
        <v>Realizar diagnóstico microrregional sobre uso de telessaúde</v>
      </c>
      <c r="C58" s="266"/>
      <c r="D58" s="266"/>
      <c r="E58" s="266"/>
      <c r="F58" s="266"/>
      <c r="G58" s="14"/>
      <c r="H58" s="14" t="str">
        <f t="shared" ca="1" si="332"/>
        <v/>
      </c>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c r="GG58" s="31"/>
      <c r="GH58" s="31"/>
      <c r="GI58" s="31"/>
      <c r="GJ58" s="31"/>
      <c r="GK58" s="31"/>
      <c r="GL58" s="31"/>
      <c r="GM58" s="31"/>
      <c r="GN58" s="31"/>
      <c r="GO58" s="31"/>
      <c r="GP58" s="31"/>
      <c r="GQ58" s="31"/>
      <c r="GR58" s="31"/>
      <c r="GS58" s="31"/>
      <c r="GT58" s="31"/>
      <c r="GU58" s="31"/>
      <c r="GV58" s="31"/>
      <c r="GW58" s="31"/>
      <c r="GX58" s="31"/>
      <c r="GY58" s="31"/>
      <c r="GZ58" s="31"/>
      <c r="HA58" s="31"/>
      <c r="HB58" s="31"/>
      <c r="HC58" s="31"/>
      <c r="HD58" s="31"/>
      <c r="HE58" s="31"/>
      <c r="HF58" s="31"/>
      <c r="HG58" s="31"/>
      <c r="HH58" s="31"/>
      <c r="HI58" s="31"/>
      <c r="HJ58" s="31"/>
      <c r="HK58" s="31"/>
      <c r="HL58" s="31"/>
      <c r="HM58" s="31"/>
      <c r="HN58" s="31"/>
      <c r="HO58" s="31"/>
      <c r="HP58" s="31"/>
      <c r="HQ58" s="31"/>
      <c r="HR58" s="31"/>
      <c r="HS58" s="31"/>
      <c r="HT58" s="31"/>
      <c r="HU58" s="31"/>
      <c r="HV58" s="31"/>
      <c r="HW58" s="31"/>
      <c r="HX58" s="31"/>
      <c r="HY58" s="31"/>
      <c r="HZ58" s="31"/>
      <c r="IA58" s="31"/>
      <c r="IB58" s="31"/>
      <c r="IC58" s="31"/>
      <c r="ID58" s="31"/>
      <c r="IE58" s="31"/>
      <c r="IF58" s="31"/>
      <c r="IG58" s="31"/>
      <c r="IH58" s="31"/>
      <c r="II58" s="31"/>
      <c r="IJ58" s="31"/>
      <c r="IK58" s="31"/>
      <c r="IL58" s="31"/>
      <c r="IM58" s="31"/>
      <c r="IN58" s="31"/>
      <c r="IO58" s="31"/>
      <c r="IP58" s="31"/>
      <c r="IQ58" s="31"/>
      <c r="IR58" s="31"/>
      <c r="IS58" s="31"/>
      <c r="IT58" s="31"/>
      <c r="IU58" s="31"/>
      <c r="IV58" s="31"/>
      <c r="IW58" s="31"/>
      <c r="IX58" s="31"/>
      <c r="IY58" s="31"/>
      <c r="IZ58" s="31"/>
      <c r="JA58" s="31"/>
      <c r="JB58" s="31"/>
      <c r="JC58" s="31"/>
      <c r="JD58" s="31"/>
      <c r="JE58" s="31"/>
      <c r="JF58" s="31"/>
      <c r="JG58" s="31"/>
      <c r="JH58" s="31"/>
      <c r="JI58" s="31"/>
      <c r="JJ58" s="31"/>
      <c r="JK58" s="31"/>
      <c r="JL58" s="31"/>
      <c r="JM58" s="31"/>
      <c r="JN58" s="31"/>
      <c r="JO58" s="31"/>
      <c r="JP58" s="31"/>
      <c r="JQ58" s="31"/>
      <c r="JR58" s="31"/>
      <c r="JS58" s="31"/>
      <c r="JT58" s="31"/>
      <c r="JU58" s="31"/>
      <c r="JV58" s="31"/>
      <c r="JW58" s="31"/>
      <c r="JX58" s="31"/>
      <c r="JY58" s="31"/>
      <c r="JZ58" s="31"/>
      <c r="KA58" s="31"/>
      <c r="KB58" s="31"/>
      <c r="KC58" s="31"/>
      <c r="KD58" s="31"/>
      <c r="KE58" s="31"/>
      <c r="KF58" s="31"/>
      <c r="KG58" s="31"/>
      <c r="KH58" s="31"/>
      <c r="KI58" s="31"/>
      <c r="KJ58" s="31"/>
      <c r="KK58" s="31"/>
      <c r="KL58" s="31"/>
      <c r="KM58" s="31"/>
      <c r="KN58" s="31"/>
      <c r="KO58" s="31"/>
      <c r="KP58" s="31"/>
      <c r="KQ58" s="31"/>
      <c r="KR58" s="31"/>
      <c r="KS58" s="31"/>
      <c r="KT58" s="31"/>
      <c r="KU58" s="31"/>
      <c r="KV58" s="31"/>
      <c r="KW58" s="31"/>
      <c r="KX58" s="31"/>
      <c r="KY58" s="31"/>
      <c r="KZ58" s="31"/>
      <c r="LA58" s="31"/>
      <c r="LB58" s="31"/>
      <c r="LC58" s="31"/>
      <c r="LD58" s="31"/>
      <c r="LE58" s="31"/>
      <c r="LF58" s="31"/>
      <c r="LG58" s="31"/>
      <c r="LH58" s="31"/>
      <c r="LI58" s="31"/>
      <c r="LJ58" s="31"/>
      <c r="LK58" s="31"/>
      <c r="LL58" s="31"/>
      <c r="LM58" s="31"/>
      <c r="LN58" s="31"/>
      <c r="LO58" s="31"/>
      <c r="LP58" s="31"/>
      <c r="LQ58" s="31"/>
      <c r="LR58" s="31"/>
      <c r="LS58" s="31"/>
      <c r="LT58" s="31"/>
      <c r="LU58" s="31"/>
      <c r="LV58" s="31"/>
      <c r="LW58" s="31"/>
      <c r="LX58" s="31"/>
      <c r="LY58" s="31"/>
      <c r="LZ58" s="31"/>
      <c r="MA58" s="31"/>
      <c r="MB58" s="31"/>
      <c r="MC58" s="31"/>
      <c r="MD58" s="31"/>
      <c r="ME58" s="31"/>
      <c r="MF58" s="31"/>
    </row>
    <row r="59" spans="1:344" ht="42" customHeight="1">
      <c r="A59" s="46"/>
      <c r="B59" s="188" t="str">
        <f>'OKR '!D108</f>
        <v>Fazer diagnóstico técnico da infraestrutura</v>
      </c>
      <c r="C59" s="188" t="str">
        <f>'OKR '!E108</f>
        <v>Equipe Microrregional, SES (Equipe da Telessaúde + NSDIGI)</v>
      </c>
      <c r="D59" s="189"/>
      <c r="E59" s="190">
        <f>'OKR '!G108</f>
        <v>46113</v>
      </c>
      <c r="F59" s="190">
        <f>'OKR '!H108</f>
        <v>46234</v>
      </c>
      <c r="G59" s="14"/>
      <c r="H59" s="14">
        <f t="shared" ca="1" si="332"/>
        <v>122</v>
      </c>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c r="GG59" s="31"/>
      <c r="GH59" s="31"/>
      <c r="GI59" s="31"/>
      <c r="GJ59" s="31"/>
      <c r="GK59" s="31"/>
      <c r="GL59" s="31"/>
      <c r="GM59" s="31"/>
      <c r="GN59" s="31"/>
      <c r="GO59" s="31"/>
      <c r="GP59" s="31"/>
      <c r="GQ59" s="31"/>
      <c r="GR59" s="31"/>
      <c r="GS59" s="31"/>
      <c r="GT59" s="31"/>
      <c r="GU59" s="31"/>
      <c r="GV59" s="31"/>
      <c r="GW59" s="31"/>
      <c r="GX59" s="31"/>
      <c r="GY59" s="31"/>
      <c r="GZ59" s="31"/>
      <c r="HA59" s="31"/>
      <c r="HB59" s="31"/>
      <c r="HC59" s="31"/>
      <c r="HD59" s="31"/>
      <c r="HE59" s="31"/>
      <c r="HF59" s="31"/>
      <c r="HG59" s="31"/>
      <c r="HH59" s="31"/>
      <c r="HI59" s="31"/>
      <c r="HJ59" s="31"/>
      <c r="HK59" s="31"/>
      <c r="HL59" s="31"/>
      <c r="HM59" s="31"/>
      <c r="HN59" s="31"/>
      <c r="HO59" s="31"/>
      <c r="HP59" s="31"/>
      <c r="HQ59" s="31"/>
      <c r="HR59" s="31"/>
      <c r="HS59" s="31"/>
      <c r="HT59" s="31"/>
      <c r="HU59" s="31"/>
      <c r="HV59" s="31"/>
      <c r="HW59" s="31"/>
      <c r="HX59" s="31"/>
      <c r="HY59" s="31"/>
      <c r="HZ59" s="31"/>
      <c r="IA59" s="31"/>
      <c r="IB59" s="31"/>
      <c r="IC59" s="31"/>
      <c r="ID59" s="31"/>
      <c r="IE59" s="31"/>
      <c r="IF59" s="31"/>
      <c r="IG59" s="31"/>
      <c r="IH59" s="31"/>
      <c r="II59" s="31"/>
      <c r="IJ59" s="31"/>
      <c r="IK59" s="31"/>
      <c r="IL59" s="31"/>
      <c r="IM59" s="31"/>
      <c r="IN59" s="31"/>
      <c r="IO59" s="31"/>
      <c r="IP59" s="31"/>
      <c r="IQ59" s="31"/>
      <c r="IR59" s="31"/>
      <c r="IS59" s="31"/>
      <c r="IT59" s="31"/>
      <c r="IU59" s="31"/>
      <c r="IV59" s="31"/>
      <c r="IW59" s="31"/>
      <c r="IX59" s="31"/>
      <c r="IY59" s="31"/>
      <c r="IZ59" s="31"/>
      <c r="JA59" s="31"/>
      <c r="JB59" s="31"/>
      <c r="JC59" s="31"/>
      <c r="JD59" s="31"/>
      <c r="JE59" s="31"/>
      <c r="JF59" s="31"/>
      <c r="JG59" s="31"/>
      <c r="JH59" s="31"/>
      <c r="JI59" s="31"/>
      <c r="JJ59" s="31"/>
      <c r="JK59" s="31"/>
      <c r="JL59" s="31"/>
      <c r="JM59" s="31"/>
      <c r="JN59" s="31"/>
      <c r="JO59" s="31"/>
      <c r="JP59" s="31"/>
      <c r="JQ59" s="31"/>
      <c r="JR59" s="31"/>
      <c r="JS59" s="31"/>
      <c r="JT59" s="31"/>
      <c r="JU59" s="31"/>
      <c r="JV59" s="31"/>
      <c r="JW59" s="31"/>
      <c r="JX59" s="31"/>
      <c r="JY59" s="31"/>
      <c r="JZ59" s="31"/>
      <c r="KA59" s="31"/>
      <c r="KB59" s="31"/>
      <c r="KC59" s="31"/>
      <c r="KD59" s="31"/>
      <c r="KE59" s="31"/>
      <c r="KF59" s="31"/>
      <c r="KG59" s="31"/>
      <c r="KH59" s="31"/>
      <c r="KI59" s="31"/>
      <c r="KJ59" s="31"/>
      <c r="KK59" s="31"/>
      <c r="KL59" s="31"/>
      <c r="KM59" s="31"/>
      <c r="KN59" s="31"/>
      <c r="KO59" s="31"/>
      <c r="KP59" s="31"/>
      <c r="KQ59" s="31"/>
      <c r="KR59" s="31"/>
      <c r="KS59" s="31"/>
      <c r="KT59" s="31"/>
      <c r="KU59" s="31"/>
      <c r="KV59" s="31"/>
      <c r="KW59" s="31"/>
      <c r="KX59" s="31"/>
      <c r="KY59" s="31"/>
      <c r="KZ59" s="31"/>
      <c r="LA59" s="31"/>
      <c r="LB59" s="31"/>
      <c r="LC59" s="31"/>
      <c r="LD59" s="31"/>
      <c r="LE59" s="31"/>
      <c r="LF59" s="31"/>
      <c r="LG59" s="31"/>
      <c r="LH59" s="31"/>
      <c r="LI59" s="31"/>
      <c r="LJ59" s="31"/>
      <c r="LK59" s="31"/>
      <c r="LL59" s="31"/>
      <c r="LM59" s="31"/>
      <c r="LN59" s="31"/>
      <c r="LO59" s="31"/>
      <c r="LP59" s="31"/>
      <c r="LQ59" s="31"/>
      <c r="LR59" s="31"/>
      <c r="LS59" s="31"/>
      <c r="LT59" s="31"/>
      <c r="LU59" s="31"/>
      <c r="LV59" s="31"/>
      <c r="LW59" s="31"/>
      <c r="LX59" s="31"/>
      <c r="LY59" s="31"/>
      <c r="LZ59" s="31"/>
      <c r="MA59" s="31"/>
      <c r="MB59" s="31"/>
      <c r="MC59" s="31"/>
      <c r="MD59" s="31"/>
      <c r="ME59" s="31"/>
      <c r="MF59" s="31"/>
    </row>
    <row r="60" spans="1:344" ht="42" customHeight="1">
      <c r="B60" s="188" t="str">
        <f>'OKR '!D109</f>
        <v>Levantar gargalos técnicos referentes à implantação</v>
      </c>
      <c r="C60" s="188" t="str">
        <f>'OKR '!E109</f>
        <v>Equipe Microrregional, SES (Equipe da Telessaúde + NSDIGI)</v>
      </c>
      <c r="D60" s="189"/>
      <c r="E60" s="190">
        <f>'OKR '!G109</f>
        <v>46113</v>
      </c>
      <c r="F60" s="190">
        <f>'OKR '!H109</f>
        <v>46234</v>
      </c>
      <c r="G60" s="14"/>
      <c r="H60" s="14">
        <f t="shared" ca="1" si="332"/>
        <v>122</v>
      </c>
      <c r="I60" s="31"/>
      <c r="J60" s="31"/>
      <c r="K60" s="31"/>
      <c r="L60" s="31"/>
      <c r="M60" s="31"/>
      <c r="N60" s="31"/>
      <c r="O60" s="31"/>
      <c r="P60" s="31"/>
      <c r="Q60" s="31"/>
      <c r="R60" s="31"/>
      <c r="S60" s="31"/>
      <c r="T60" s="31"/>
      <c r="U60" s="32"/>
      <c r="V60" s="32"/>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c r="DU60" s="31"/>
      <c r="DV60" s="31"/>
      <c r="DW60" s="31"/>
      <c r="DX60" s="31"/>
      <c r="DY60" s="31"/>
      <c r="DZ60" s="31"/>
      <c r="EA60" s="31"/>
      <c r="EB60" s="31"/>
      <c r="EC60" s="31"/>
      <c r="ED60" s="31"/>
      <c r="EE60" s="31"/>
      <c r="EF60" s="31"/>
      <c r="EG60" s="31"/>
      <c r="EH60" s="31"/>
      <c r="EI60" s="31"/>
      <c r="EJ60" s="31"/>
      <c r="EK60" s="31"/>
      <c r="EL60" s="31"/>
      <c r="EM60" s="31"/>
      <c r="EN60" s="31"/>
      <c r="EO60" s="31"/>
      <c r="EP60" s="31"/>
      <c r="EQ60" s="31"/>
      <c r="ER60" s="31"/>
      <c r="ES60" s="31"/>
      <c r="ET60" s="31"/>
      <c r="EU60" s="31"/>
      <c r="EV60" s="31"/>
      <c r="EW60" s="31"/>
      <c r="EX60" s="31"/>
      <c r="EY60" s="31"/>
      <c r="EZ60" s="31"/>
      <c r="FA60" s="31"/>
      <c r="FB60" s="31"/>
      <c r="FC60" s="31"/>
      <c r="FD60" s="31"/>
      <c r="FE60" s="31"/>
      <c r="FF60" s="31"/>
      <c r="FG60" s="31"/>
      <c r="FH60" s="31"/>
      <c r="FI60" s="31"/>
      <c r="FJ60" s="31"/>
      <c r="FK60" s="31"/>
      <c r="FL60" s="31"/>
      <c r="FM60" s="31"/>
      <c r="FN60" s="31"/>
      <c r="FO60" s="31"/>
      <c r="FP60" s="31"/>
      <c r="FQ60" s="31"/>
      <c r="FR60" s="31"/>
      <c r="FS60" s="31"/>
      <c r="FT60" s="31"/>
      <c r="FU60" s="31"/>
      <c r="FV60" s="31"/>
      <c r="FW60" s="31"/>
      <c r="FX60" s="31"/>
      <c r="FY60" s="31"/>
      <c r="FZ60" s="31"/>
      <c r="GA60" s="31"/>
      <c r="GB60" s="31"/>
      <c r="GC60" s="31"/>
      <c r="GD60" s="31"/>
      <c r="GE60" s="31"/>
      <c r="GF60" s="31"/>
      <c r="GG60" s="31"/>
      <c r="GH60" s="31"/>
      <c r="GI60" s="31"/>
      <c r="GJ60" s="31"/>
      <c r="GK60" s="31"/>
      <c r="GL60" s="31"/>
      <c r="GM60" s="31"/>
      <c r="GN60" s="31"/>
      <c r="GO60" s="31"/>
      <c r="GP60" s="31"/>
      <c r="GQ60" s="31"/>
      <c r="GR60" s="31"/>
      <c r="GS60" s="31"/>
      <c r="GT60" s="31"/>
      <c r="GU60" s="31"/>
      <c r="GV60" s="31"/>
      <c r="GW60" s="31"/>
      <c r="GX60" s="31"/>
      <c r="GY60" s="31"/>
      <c r="GZ60" s="31"/>
      <c r="HA60" s="31"/>
      <c r="HB60" s="31"/>
      <c r="HC60" s="31"/>
      <c r="HD60" s="31"/>
      <c r="HE60" s="31"/>
      <c r="HF60" s="31"/>
      <c r="HG60" s="31"/>
      <c r="HH60" s="31"/>
      <c r="HI60" s="31"/>
      <c r="HJ60" s="31"/>
      <c r="HK60" s="31"/>
      <c r="HL60" s="31"/>
      <c r="HM60" s="31"/>
      <c r="HN60" s="31"/>
      <c r="HO60" s="31"/>
      <c r="HP60" s="31"/>
      <c r="HQ60" s="31"/>
      <c r="HR60" s="31"/>
      <c r="HS60" s="31"/>
      <c r="HT60" s="31"/>
      <c r="HU60" s="31"/>
      <c r="HV60" s="31"/>
      <c r="HW60" s="31"/>
      <c r="HX60" s="31"/>
      <c r="HY60" s="31"/>
      <c r="HZ60" s="31"/>
      <c r="IA60" s="31"/>
      <c r="IB60" s="31"/>
      <c r="IC60" s="31"/>
      <c r="ID60" s="31"/>
      <c r="IE60" s="31"/>
      <c r="IF60" s="31"/>
      <c r="IG60" s="31"/>
      <c r="IH60" s="31"/>
      <c r="II60" s="31"/>
      <c r="IJ60" s="31"/>
      <c r="IK60" s="31"/>
      <c r="IL60" s="31"/>
      <c r="IM60" s="31"/>
      <c r="IN60" s="31"/>
      <c r="IO60" s="31"/>
      <c r="IP60" s="31"/>
      <c r="IQ60" s="31"/>
      <c r="IR60" s="31"/>
      <c r="IS60" s="31"/>
      <c r="IT60" s="31"/>
      <c r="IU60" s="31"/>
      <c r="IV60" s="31"/>
      <c r="IW60" s="31"/>
      <c r="IX60" s="31"/>
      <c r="IY60" s="31"/>
      <c r="IZ60" s="31"/>
      <c r="JA60" s="31"/>
      <c r="JB60" s="31"/>
      <c r="JC60" s="31"/>
      <c r="JD60" s="31"/>
      <c r="JE60" s="31"/>
      <c r="JF60" s="31"/>
      <c r="JG60" s="31"/>
      <c r="JH60" s="31"/>
      <c r="JI60" s="31"/>
      <c r="JJ60" s="31"/>
      <c r="JK60" s="31"/>
      <c r="JL60" s="31"/>
      <c r="JM60" s="31"/>
      <c r="JN60" s="31"/>
      <c r="JO60" s="31"/>
      <c r="JP60" s="31"/>
      <c r="JQ60" s="31"/>
      <c r="JR60" s="31"/>
      <c r="JS60" s="31"/>
      <c r="JT60" s="31"/>
      <c r="JU60" s="31"/>
      <c r="JV60" s="31"/>
      <c r="JW60" s="31"/>
      <c r="JX60" s="31"/>
      <c r="JY60" s="31"/>
      <c r="JZ60" s="31"/>
      <c r="KA60" s="31"/>
      <c r="KB60" s="31"/>
      <c r="KC60" s="31"/>
      <c r="KD60" s="31"/>
      <c r="KE60" s="31"/>
      <c r="KF60" s="31"/>
      <c r="KG60" s="31"/>
      <c r="KH60" s="31"/>
      <c r="KI60" s="31"/>
      <c r="KJ60" s="31"/>
      <c r="KK60" s="31"/>
      <c r="KL60" s="31"/>
      <c r="KM60" s="31"/>
      <c r="KN60" s="31"/>
      <c r="KO60" s="31"/>
      <c r="KP60" s="31"/>
      <c r="KQ60" s="31"/>
      <c r="KR60" s="31"/>
      <c r="KS60" s="31"/>
      <c r="KT60" s="31"/>
      <c r="KU60" s="31"/>
      <c r="KV60" s="31"/>
      <c r="KW60" s="31"/>
      <c r="KX60" s="31"/>
      <c r="KY60" s="31"/>
      <c r="KZ60" s="31"/>
      <c r="LA60" s="31"/>
      <c r="LB60" s="31"/>
      <c r="LC60" s="31"/>
      <c r="LD60" s="31"/>
      <c r="LE60" s="31"/>
      <c r="LF60" s="31"/>
      <c r="LG60" s="31"/>
      <c r="LH60" s="31"/>
      <c r="LI60" s="31"/>
      <c r="LJ60" s="31"/>
      <c r="LK60" s="31"/>
      <c r="LL60" s="31"/>
      <c r="LM60" s="31"/>
      <c r="LN60" s="31"/>
      <c r="LO60" s="31"/>
      <c r="LP60" s="31"/>
      <c r="LQ60" s="31"/>
      <c r="LR60" s="31"/>
      <c r="LS60" s="31"/>
      <c r="LT60" s="31"/>
      <c r="LU60" s="31"/>
      <c r="LV60" s="31"/>
      <c r="LW60" s="31"/>
      <c r="LX60" s="31"/>
      <c r="LY60" s="31"/>
      <c r="LZ60" s="31"/>
      <c r="MA60" s="31"/>
      <c r="MB60" s="31"/>
      <c r="MC60" s="31"/>
      <c r="MD60" s="31"/>
      <c r="ME60" s="31"/>
      <c r="MF60" s="31"/>
    </row>
    <row r="61" spans="1:344" ht="42" customHeight="1">
      <c r="B61" s="188" t="str">
        <f>'OKR '!D110</f>
        <v>Levantar as necessidades assistenciais relacionadas à Telessaúde</v>
      </c>
      <c r="C61" s="188" t="str">
        <f>'OKR '!E110</f>
        <v>Equipe Microrregional, SES (Equipe da Telessaúde + NSDIGI)</v>
      </c>
      <c r="D61" s="189"/>
      <c r="E61" s="190">
        <f>'OKR '!G110</f>
        <v>46113</v>
      </c>
      <c r="F61" s="190">
        <f>'OKR '!H110</f>
        <v>46234</v>
      </c>
      <c r="G61" s="14"/>
      <c r="H61" s="14"/>
      <c r="I61" s="31"/>
      <c r="J61" s="31"/>
      <c r="K61" s="31"/>
      <c r="L61" s="31"/>
      <c r="M61" s="31"/>
      <c r="N61" s="31"/>
      <c r="O61" s="31"/>
      <c r="P61" s="31"/>
      <c r="Q61" s="31"/>
      <c r="R61" s="31"/>
      <c r="S61" s="31"/>
      <c r="T61" s="31"/>
      <c r="U61" s="32"/>
      <c r="V61" s="32"/>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c r="GG61" s="31"/>
      <c r="GH61" s="31"/>
      <c r="GI61" s="31"/>
      <c r="GJ61" s="31"/>
      <c r="GK61" s="31"/>
      <c r="GL61" s="31"/>
      <c r="GM61" s="31"/>
      <c r="GN61" s="31"/>
      <c r="GO61" s="31"/>
      <c r="GP61" s="31"/>
      <c r="GQ61" s="31"/>
      <c r="GR61" s="31"/>
      <c r="GS61" s="31"/>
      <c r="GT61" s="31"/>
      <c r="GU61" s="31"/>
      <c r="GV61" s="31"/>
      <c r="GW61" s="31"/>
      <c r="GX61" s="31"/>
      <c r="GY61" s="31"/>
      <c r="GZ61" s="31"/>
      <c r="HA61" s="31"/>
      <c r="HB61" s="31"/>
      <c r="HC61" s="31"/>
      <c r="HD61" s="31"/>
      <c r="HE61" s="31"/>
      <c r="HF61" s="31"/>
      <c r="HG61" s="31"/>
      <c r="HH61" s="31"/>
      <c r="HI61" s="31"/>
      <c r="HJ61" s="31"/>
      <c r="HK61" s="31"/>
      <c r="HL61" s="31"/>
      <c r="HM61" s="31"/>
      <c r="HN61" s="31"/>
      <c r="HO61" s="31"/>
      <c r="HP61" s="31"/>
      <c r="HQ61" s="31"/>
      <c r="HR61" s="31"/>
      <c r="HS61" s="31"/>
      <c r="HT61" s="31"/>
      <c r="HU61" s="31"/>
      <c r="HV61" s="31"/>
      <c r="HW61" s="31"/>
      <c r="HX61" s="31"/>
      <c r="HY61" s="31"/>
      <c r="HZ61" s="31"/>
      <c r="IA61" s="31"/>
      <c r="IB61" s="31"/>
      <c r="IC61" s="31"/>
      <c r="ID61" s="31"/>
      <c r="IE61" s="31"/>
      <c r="IF61" s="31"/>
      <c r="IG61" s="31"/>
      <c r="IH61" s="31"/>
      <c r="II61" s="31"/>
      <c r="IJ61" s="31"/>
      <c r="IK61" s="31"/>
      <c r="IL61" s="31"/>
      <c r="IM61" s="31"/>
      <c r="IN61" s="31"/>
      <c r="IO61" s="31"/>
      <c r="IP61" s="31"/>
      <c r="IQ61" s="31"/>
      <c r="IR61" s="31"/>
      <c r="IS61" s="31"/>
      <c r="IT61" s="31"/>
      <c r="IU61" s="31"/>
      <c r="IV61" s="31"/>
      <c r="IW61" s="31"/>
      <c r="IX61" s="31"/>
      <c r="IY61" s="31"/>
      <c r="IZ61" s="31"/>
      <c r="JA61" s="31"/>
      <c r="JB61" s="31"/>
      <c r="JC61" s="31"/>
      <c r="JD61" s="31"/>
      <c r="JE61" s="31"/>
      <c r="JF61" s="31"/>
      <c r="JG61" s="31"/>
      <c r="JH61" s="31"/>
      <c r="JI61" s="31"/>
      <c r="JJ61" s="31"/>
      <c r="JK61" s="31"/>
      <c r="JL61" s="31"/>
      <c r="JM61" s="31"/>
      <c r="JN61" s="31"/>
      <c r="JO61" s="31"/>
      <c r="JP61" s="31"/>
      <c r="JQ61" s="31"/>
      <c r="JR61" s="31"/>
      <c r="JS61" s="31"/>
      <c r="JT61" s="31"/>
      <c r="JU61" s="31"/>
      <c r="JV61" s="31"/>
      <c r="JW61" s="31"/>
      <c r="JX61" s="31"/>
      <c r="JY61" s="31"/>
      <c r="JZ61" s="31"/>
      <c r="KA61" s="31"/>
      <c r="KB61" s="31"/>
      <c r="KC61" s="31"/>
      <c r="KD61" s="31"/>
      <c r="KE61" s="31"/>
      <c r="KF61" s="31"/>
      <c r="KG61" s="31"/>
      <c r="KH61" s="31"/>
      <c r="KI61" s="31"/>
      <c r="KJ61" s="31"/>
      <c r="KK61" s="31"/>
      <c r="KL61" s="31"/>
      <c r="KM61" s="31"/>
      <c r="KN61" s="31"/>
      <c r="KO61" s="31"/>
      <c r="KP61" s="31"/>
      <c r="KQ61" s="31"/>
      <c r="KR61" s="31"/>
      <c r="KS61" s="31"/>
      <c r="KT61" s="31"/>
      <c r="KU61" s="31"/>
      <c r="KV61" s="31"/>
      <c r="KW61" s="31"/>
      <c r="KX61" s="31"/>
      <c r="KY61" s="31"/>
      <c r="KZ61" s="31"/>
      <c r="LA61" s="31"/>
      <c r="LB61" s="31"/>
      <c r="LC61" s="31"/>
      <c r="LD61" s="31"/>
      <c r="LE61" s="31"/>
      <c r="LF61" s="31"/>
      <c r="LG61" s="31"/>
      <c r="LH61" s="31"/>
      <c r="LI61" s="31"/>
      <c r="LJ61" s="31"/>
      <c r="LK61" s="31"/>
      <c r="LL61" s="31"/>
      <c r="LM61" s="31"/>
      <c r="LN61" s="31"/>
      <c r="LO61" s="31"/>
      <c r="LP61" s="31"/>
      <c r="LQ61" s="31"/>
      <c r="LR61" s="31"/>
      <c r="LS61" s="31"/>
      <c r="LT61" s="31"/>
      <c r="LU61" s="31"/>
      <c r="LV61" s="31"/>
      <c r="LW61" s="31"/>
      <c r="LX61" s="31"/>
      <c r="LY61" s="31"/>
      <c r="LZ61" s="31"/>
      <c r="MA61" s="31"/>
      <c r="MB61" s="31"/>
      <c r="MC61" s="31"/>
      <c r="MD61" s="31"/>
      <c r="ME61" s="31"/>
      <c r="MF61" s="31"/>
    </row>
    <row r="62" spans="1:344" ht="42" customHeight="1">
      <c r="B62" s="188" t="str">
        <f>'OKR '!D111</f>
        <v>Identificar a disponibilidade orçamentária para uso da Telessaúde</v>
      </c>
      <c r="C62" s="188" t="str">
        <f>'OKR '!E111</f>
        <v>Equipe Microrregional</v>
      </c>
      <c r="D62" s="189"/>
      <c r="E62" s="190">
        <f>'OKR '!G111</f>
        <v>46113</v>
      </c>
      <c r="F62" s="190">
        <f>'OKR '!H111</f>
        <v>46234</v>
      </c>
      <c r="G62" s="14"/>
      <c r="H62" s="14">
        <f t="shared" ca="1" si="332"/>
        <v>122</v>
      </c>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c r="GG62" s="31"/>
      <c r="GH62" s="31"/>
      <c r="GI62" s="31"/>
      <c r="GJ62" s="31"/>
      <c r="GK62" s="31"/>
      <c r="GL62" s="31"/>
      <c r="GM62" s="31"/>
      <c r="GN62" s="31"/>
      <c r="GO62" s="31"/>
      <c r="GP62" s="31"/>
      <c r="GQ62" s="31"/>
      <c r="GR62" s="31"/>
      <c r="GS62" s="31"/>
      <c r="GT62" s="31"/>
      <c r="GU62" s="31"/>
      <c r="GV62" s="31"/>
      <c r="GW62" s="31"/>
      <c r="GX62" s="31"/>
      <c r="GY62" s="31"/>
      <c r="GZ62" s="31"/>
      <c r="HA62" s="31"/>
      <c r="HB62" s="31"/>
      <c r="HC62" s="31"/>
      <c r="HD62" s="31"/>
      <c r="HE62" s="31"/>
      <c r="HF62" s="31"/>
      <c r="HG62" s="31"/>
      <c r="HH62" s="31"/>
      <c r="HI62" s="31"/>
      <c r="HJ62" s="31"/>
      <c r="HK62" s="31"/>
      <c r="HL62" s="31"/>
      <c r="HM62" s="31"/>
      <c r="HN62" s="31"/>
      <c r="HO62" s="31"/>
      <c r="HP62" s="31"/>
      <c r="HQ62" s="31"/>
      <c r="HR62" s="31"/>
      <c r="HS62" s="31"/>
      <c r="HT62" s="31"/>
      <c r="HU62" s="31"/>
      <c r="HV62" s="31"/>
      <c r="HW62" s="31"/>
      <c r="HX62" s="31"/>
      <c r="HY62" s="31"/>
      <c r="HZ62" s="31"/>
      <c r="IA62" s="31"/>
      <c r="IB62" s="31"/>
      <c r="IC62" s="31"/>
      <c r="ID62" s="31"/>
      <c r="IE62" s="31"/>
      <c r="IF62" s="31"/>
      <c r="IG62" s="31"/>
      <c r="IH62" s="31"/>
      <c r="II62" s="31"/>
      <c r="IJ62" s="31"/>
      <c r="IK62" s="31"/>
      <c r="IL62" s="31"/>
      <c r="IM62" s="31"/>
      <c r="IN62" s="31"/>
      <c r="IO62" s="31"/>
      <c r="IP62" s="31"/>
      <c r="IQ62" s="31"/>
      <c r="IR62" s="31"/>
      <c r="IS62" s="31"/>
      <c r="IT62" s="31"/>
      <c r="IU62" s="31"/>
      <c r="IV62" s="31"/>
      <c r="IW62" s="31"/>
      <c r="IX62" s="31"/>
      <c r="IY62" s="31"/>
      <c r="IZ62" s="31"/>
      <c r="JA62" s="31"/>
      <c r="JB62" s="31"/>
      <c r="JC62" s="31"/>
      <c r="JD62" s="31"/>
      <c r="JE62" s="31"/>
      <c r="JF62" s="31"/>
      <c r="JG62" s="31"/>
      <c r="JH62" s="31"/>
      <c r="JI62" s="31"/>
      <c r="JJ62" s="31"/>
      <c r="JK62" s="31"/>
      <c r="JL62" s="31"/>
      <c r="JM62" s="31"/>
      <c r="JN62" s="31"/>
      <c r="JO62" s="31"/>
      <c r="JP62" s="31"/>
      <c r="JQ62" s="31"/>
      <c r="JR62" s="31"/>
      <c r="JS62" s="31"/>
      <c r="JT62" s="31"/>
      <c r="JU62" s="31"/>
      <c r="JV62" s="31"/>
      <c r="JW62" s="31"/>
      <c r="JX62" s="31"/>
      <c r="JY62" s="31"/>
      <c r="JZ62" s="31"/>
      <c r="KA62" s="31"/>
      <c r="KB62" s="31"/>
      <c r="KC62" s="31"/>
      <c r="KD62" s="31"/>
      <c r="KE62" s="31"/>
      <c r="KF62" s="31"/>
      <c r="KG62" s="31"/>
      <c r="KH62" s="31"/>
      <c r="KI62" s="31"/>
      <c r="KJ62" s="31"/>
      <c r="KK62" s="31"/>
      <c r="KL62" s="31"/>
      <c r="KM62" s="31"/>
      <c r="KN62" s="31"/>
      <c r="KO62" s="31"/>
      <c r="KP62" s="31"/>
      <c r="KQ62" s="31"/>
      <c r="KR62" s="31"/>
      <c r="KS62" s="31"/>
      <c r="KT62" s="31"/>
      <c r="KU62" s="31"/>
      <c r="KV62" s="31"/>
      <c r="KW62" s="31"/>
      <c r="KX62" s="31"/>
      <c r="KY62" s="31"/>
      <c r="KZ62" s="31"/>
      <c r="LA62" s="31"/>
      <c r="LB62" s="31"/>
      <c r="LC62" s="31"/>
      <c r="LD62" s="31"/>
      <c r="LE62" s="31"/>
      <c r="LF62" s="31"/>
      <c r="LG62" s="31"/>
      <c r="LH62" s="31"/>
      <c r="LI62" s="31"/>
      <c r="LJ62" s="31"/>
      <c r="LK62" s="31"/>
      <c r="LL62" s="31"/>
      <c r="LM62" s="31"/>
      <c r="LN62" s="31"/>
      <c r="LO62" s="31"/>
      <c r="LP62" s="31"/>
      <c r="LQ62" s="31"/>
      <c r="LR62" s="31"/>
      <c r="LS62" s="31"/>
      <c r="LT62" s="31"/>
      <c r="LU62" s="31"/>
      <c r="LV62" s="31"/>
      <c r="LW62" s="31"/>
      <c r="LX62" s="31"/>
      <c r="LY62" s="31"/>
      <c r="LZ62" s="31"/>
      <c r="MA62" s="31"/>
      <c r="MB62" s="31"/>
      <c r="MC62" s="31"/>
      <c r="MD62" s="31"/>
      <c r="ME62" s="31"/>
      <c r="MF62" s="31"/>
    </row>
    <row r="63" spans="1:344" ht="42" customHeight="1">
      <c r="B63" s="188" t="str">
        <f>'OKR '!D107</f>
        <v>Apresentar informações sobre a situação de uso da teleconsultoria na microrregião</v>
      </c>
      <c r="C63" s="188" t="str">
        <f>'OKR '!E107</f>
        <v>Equipe Microrregional, SES (Equipe da Telessaúde + NSDIGI)</v>
      </c>
      <c r="D63" s="189"/>
      <c r="E63" s="190">
        <f>'OKR '!G107</f>
        <v>46113</v>
      </c>
      <c r="F63" s="190">
        <f>'OKR '!H107</f>
        <v>46142</v>
      </c>
      <c r="G63" s="14"/>
      <c r="H63" s="14">
        <f t="shared" ca="1" si="332"/>
        <v>30</v>
      </c>
      <c r="I63" s="31"/>
      <c r="J63" s="31"/>
      <c r="K63" s="31"/>
      <c r="L63" s="31"/>
      <c r="M63" s="31"/>
      <c r="N63" s="31"/>
      <c r="O63" s="31"/>
      <c r="P63" s="31"/>
      <c r="Q63" s="31"/>
      <c r="R63" s="31"/>
      <c r="S63" s="31"/>
      <c r="T63" s="31"/>
      <c r="U63" s="31"/>
      <c r="V63" s="31"/>
      <c r="W63" s="31"/>
      <c r="X63" s="31"/>
      <c r="Y63" s="32"/>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c r="GG63" s="31"/>
      <c r="GH63" s="31"/>
      <c r="GI63" s="31"/>
      <c r="GJ63" s="31"/>
      <c r="GK63" s="31"/>
      <c r="GL63" s="31"/>
      <c r="GM63" s="31"/>
      <c r="GN63" s="31"/>
      <c r="GO63" s="31"/>
      <c r="GP63" s="31"/>
      <c r="GQ63" s="31"/>
      <c r="GR63" s="31"/>
      <c r="GS63" s="31"/>
      <c r="GT63" s="31"/>
      <c r="GU63" s="31"/>
      <c r="GV63" s="31"/>
      <c r="GW63" s="31"/>
      <c r="GX63" s="31"/>
      <c r="GY63" s="31"/>
      <c r="GZ63" s="31"/>
      <c r="HA63" s="31"/>
      <c r="HB63" s="31"/>
      <c r="HC63" s="31"/>
      <c r="HD63" s="31"/>
      <c r="HE63" s="31"/>
      <c r="HF63" s="31"/>
      <c r="HG63" s="31"/>
      <c r="HH63" s="31"/>
      <c r="HI63" s="31"/>
      <c r="HJ63" s="31"/>
      <c r="HK63" s="31"/>
      <c r="HL63" s="31"/>
      <c r="HM63" s="31"/>
      <c r="HN63" s="31"/>
      <c r="HO63" s="31"/>
      <c r="HP63" s="31"/>
      <c r="HQ63" s="31"/>
      <c r="HR63" s="31"/>
      <c r="HS63" s="31"/>
      <c r="HT63" s="31"/>
      <c r="HU63" s="31"/>
      <c r="HV63" s="31"/>
      <c r="HW63" s="31"/>
      <c r="HX63" s="31"/>
      <c r="HY63" s="31"/>
      <c r="HZ63" s="31"/>
      <c r="IA63" s="31"/>
      <c r="IB63" s="31"/>
      <c r="IC63" s="31"/>
      <c r="ID63" s="31"/>
      <c r="IE63" s="31"/>
      <c r="IF63" s="31"/>
      <c r="IG63" s="31"/>
      <c r="IH63" s="31"/>
      <c r="II63" s="31"/>
      <c r="IJ63" s="31"/>
      <c r="IK63" s="31"/>
      <c r="IL63" s="31"/>
      <c r="IM63" s="31"/>
      <c r="IN63" s="31"/>
      <c r="IO63" s="31"/>
      <c r="IP63" s="31"/>
      <c r="IQ63" s="31"/>
      <c r="IR63" s="31"/>
      <c r="IS63" s="31"/>
      <c r="IT63" s="31"/>
      <c r="IU63" s="31"/>
      <c r="IV63" s="31"/>
      <c r="IW63" s="31"/>
      <c r="IX63" s="31"/>
      <c r="IY63" s="31"/>
      <c r="IZ63" s="31"/>
      <c r="JA63" s="31"/>
      <c r="JB63" s="31"/>
      <c r="JC63" s="31"/>
      <c r="JD63" s="31"/>
      <c r="JE63" s="31"/>
      <c r="JF63" s="31"/>
      <c r="JG63" s="31"/>
      <c r="JH63" s="31"/>
      <c r="JI63" s="31"/>
      <c r="JJ63" s="31"/>
      <c r="JK63" s="31"/>
      <c r="JL63" s="31"/>
      <c r="JM63" s="31"/>
      <c r="JN63" s="31"/>
      <c r="JO63" s="31"/>
      <c r="JP63" s="31"/>
      <c r="JQ63" s="31"/>
      <c r="JR63" s="31"/>
      <c r="JS63" s="31"/>
      <c r="JT63" s="31"/>
      <c r="JU63" s="31"/>
      <c r="JV63" s="31"/>
      <c r="JW63" s="31"/>
      <c r="JX63" s="31"/>
      <c r="JY63" s="31"/>
      <c r="JZ63" s="31"/>
      <c r="KA63" s="31"/>
      <c r="KB63" s="31"/>
      <c r="KC63" s="31"/>
      <c r="KD63" s="31"/>
      <c r="KE63" s="31"/>
      <c r="KF63" s="31"/>
      <c r="KG63" s="31"/>
      <c r="KH63" s="31"/>
      <c r="KI63" s="31"/>
      <c r="KJ63" s="31"/>
      <c r="KK63" s="31"/>
      <c r="KL63" s="31"/>
      <c r="KM63" s="31"/>
      <c r="KN63" s="31"/>
      <c r="KO63" s="31"/>
      <c r="KP63" s="31"/>
      <c r="KQ63" s="31"/>
      <c r="KR63" s="31"/>
      <c r="KS63" s="31"/>
      <c r="KT63" s="31"/>
      <c r="KU63" s="31"/>
      <c r="KV63" s="31"/>
      <c r="KW63" s="31"/>
      <c r="KX63" s="31"/>
      <c r="KY63" s="31"/>
      <c r="KZ63" s="31"/>
      <c r="LA63" s="31"/>
      <c r="LB63" s="31"/>
      <c r="LC63" s="31"/>
      <c r="LD63" s="31"/>
      <c r="LE63" s="31"/>
      <c r="LF63" s="31"/>
      <c r="LG63" s="31"/>
      <c r="LH63" s="31"/>
      <c r="LI63" s="31"/>
      <c r="LJ63" s="31"/>
      <c r="LK63" s="31"/>
      <c r="LL63" s="31"/>
      <c r="LM63" s="31"/>
      <c r="LN63" s="31"/>
      <c r="LO63" s="31"/>
      <c r="LP63" s="31"/>
      <c r="LQ63" s="31"/>
      <c r="LR63" s="31"/>
      <c r="LS63" s="31"/>
      <c r="LT63" s="31"/>
      <c r="LU63" s="31"/>
      <c r="LV63" s="31"/>
      <c r="LW63" s="31"/>
      <c r="LX63" s="31"/>
      <c r="LY63" s="31"/>
      <c r="LZ63" s="31"/>
      <c r="MA63" s="31"/>
      <c r="MB63" s="31"/>
      <c r="MC63" s="31"/>
      <c r="MD63" s="31"/>
      <c r="ME63" s="31"/>
      <c r="MF63" s="31"/>
    </row>
    <row r="64" spans="1:344" ht="42" customHeight="1">
      <c r="B64" s="188" t="str">
        <f>'OKR '!D112</f>
        <v>Elaborar plano de ação para superação dos obstáculos identificados</v>
      </c>
      <c r="C64" s="188" t="str">
        <f>'OKR '!E112</f>
        <v>Equipe Microrregional</v>
      </c>
      <c r="D64" s="189"/>
      <c r="E64" s="190">
        <f>'OKR '!G112</f>
        <v>46204</v>
      </c>
      <c r="F64" s="190">
        <f>'OKR '!H112</f>
        <v>46265</v>
      </c>
      <c r="G64" s="14"/>
      <c r="H64" s="14"/>
      <c r="I64" s="31"/>
      <c r="J64" s="31"/>
      <c r="K64" s="31"/>
      <c r="L64" s="31"/>
      <c r="M64" s="31"/>
      <c r="N64" s="31"/>
      <c r="O64" s="31"/>
      <c r="P64" s="31"/>
      <c r="Q64" s="31"/>
      <c r="R64" s="31"/>
      <c r="S64" s="31"/>
      <c r="T64" s="31"/>
      <c r="U64" s="31"/>
      <c r="V64" s="31"/>
      <c r="W64" s="31"/>
      <c r="X64" s="31"/>
      <c r="Y64" s="32"/>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c r="GG64" s="31"/>
      <c r="GH64" s="31"/>
      <c r="GI64" s="31"/>
      <c r="GJ64" s="31"/>
      <c r="GK64" s="31"/>
      <c r="GL64" s="31"/>
      <c r="GM64" s="31"/>
      <c r="GN64" s="31"/>
      <c r="GO64" s="31"/>
      <c r="GP64" s="31"/>
      <c r="GQ64" s="31"/>
      <c r="GR64" s="31"/>
      <c r="GS64" s="31"/>
      <c r="GT64" s="31"/>
      <c r="GU64" s="31"/>
      <c r="GV64" s="31"/>
      <c r="GW64" s="31"/>
      <c r="GX64" s="31"/>
      <c r="GY64" s="31"/>
      <c r="GZ64" s="31"/>
      <c r="HA64" s="31"/>
      <c r="HB64" s="31"/>
      <c r="HC64" s="31"/>
      <c r="HD64" s="31"/>
      <c r="HE64" s="31"/>
      <c r="HF64" s="31"/>
      <c r="HG64" s="31"/>
      <c r="HH64" s="31"/>
      <c r="HI64" s="31"/>
      <c r="HJ64" s="31"/>
      <c r="HK64" s="31"/>
      <c r="HL64" s="31"/>
      <c r="HM64" s="31"/>
      <c r="HN64" s="31"/>
      <c r="HO64" s="31"/>
      <c r="HP64" s="31"/>
      <c r="HQ64" s="31"/>
      <c r="HR64" s="31"/>
      <c r="HS64" s="31"/>
      <c r="HT64" s="31"/>
      <c r="HU64" s="31"/>
      <c r="HV64" s="31"/>
      <c r="HW64" s="31"/>
      <c r="HX64" s="31"/>
      <c r="HY64" s="31"/>
      <c r="HZ64" s="31"/>
      <c r="IA64" s="31"/>
      <c r="IB64" s="31"/>
      <c r="IC64" s="31"/>
      <c r="ID64" s="31"/>
      <c r="IE64" s="31"/>
      <c r="IF64" s="31"/>
      <c r="IG64" s="31"/>
      <c r="IH64" s="31"/>
      <c r="II64" s="31"/>
      <c r="IJ64" s="31"/>
      <c r="IK64" s="31"/>
      <c r="IL64" s="31"/>
      <c r="IM64" s="31"/>
      <c r="IN64" s="31"/>
      <c r="IO64" s="31"/>
      <c r="IP64" s="31"/>
      <c r="IQ64" s="31"/>
      <c r="IR64" s="31"/>
      <c r="IS64" s="31"/>
      <c r="IT64" s="31"/>
      <c r="IU64" s="31"/>
      <c r="IV64" s="31"/>
      <c r="IW64" s="31"/>
      <c r="IX64" s="31"/>
      <c r="IY64" s="31"/>
      <c r="IZ64" s="31"/>
      <c r="JA64" s="31"/>
      <c r="JB64" s="31"/>
      <c r="JC64" s="31"/>
      <c r="JD64" s="31"/>
      <c r="JE64" s="31"/>
      <c r="JF64" s="31"/>
      <c r="JG64" s="31"/>
      <c r="JH64" s="31"/>
      <c r="JI64" s="31"/>
      <c r="JJ64" s="31"/>
      <c r="JK64" s="31"/>
      <c r="JL64" s="31"/>
      <c r="JM64" s="31"/>
      <c r="JN64" s="31"/>
      <c r="JO64" s="31"/>
      <c r="JP64" s="31"/>
      <c r="JQ64" s="31"/>
      <c r="JR64" s="31"/>
      <c r="JS64" s="31"/>
      <c r="JT64" s="31"/>
      <c r="JU64" s="31"/>
      <c r="JV64" s="31"/>
      <c r="JW64" s="31"/>
      <c r="JX64" s="31"/>
      <c r="JY64" s="31"/>
      <c r="JZ64" s="31"/>
      <c r="KA64" s="31"/>
      <c r="KB64" s="31"/>
      <c r="KC64" s="31"/>
      <c r="KD64" s="31"/>
      <c r="KE64" s="31"/>
      <c r="KF64" s="31"/>
      <c r="KG64" s="31"/>
      <c r="KH64" s="31"/>
      <c r="KI64" s="31"/>
      <c r="KJ64" s="31"/>
      <c r="KK64" s="31"/>
      <c r="KL64" s="31"/>
      <c r="KM64" s="31"/>
      <c r="KN64" s="31"/>
      <c r="KO64" s="31"/>
      <c r="KP64" s="31"/>
      <c r="KQ64" s="31"/>
      <c r="KR64" s="31"/>
      <c r="KS64" s="31"/>
      <c r="KT64" s="31"/>
      <c r="KU64" s="31"/>
      <c r="KV64" s="31"/>
      <c r="KW64" s="31"/>
      <c r="KX64" s="31"/>
      <c r="KY64" s="31"/>
      <c r="KZ64" s="31"/>
      <c r="LA64" s="31"/>
      <c r="LB64" s="31"/>
      <c r="LC64" s="31"/>
      <c r="LD64" s="31"/>
      <c r="LE64" s="31"/>
      <c r="LF64" s="31"/>
      <c r="LG64" s="31"/>
      <c r="LH64" s="31"/>
      <c r="LI64" s="31"/>
      <c r="LJ64" s="31"/>
      <c r="LK64" s="31"/>
      <c r="LL64" s="31"/>
      <c r="LM64" s="31"/>
      <c r="LN64" s="31"/>
      <c r="LO64" s="31"/>
      <c r="LP64" s="31"/>
      <c r="LQ64" s="31"/>
      <c r="LR64" s="31"/>
      <c r="LS64" s="31"/>
      <c r="LT64" s="31"/>
      <c r="LU64" s="31"/>
      <c r="LV64" s="31"/>
      <c r="LW64" s="31"/>
      <c r="LX64" s="31"/>
      <c r="LY64" s="31"/>
      <c r="LZ64" s="31"/>
      <c r="MA64" s="31"/>
      <c r="MB64" s="31"/>
      <c r="MC64" s="31"/>
      <c r="MD64" s="31"/>
      <c r="ME64" s="31"/>
      <c r="MF64" s="31"/>
    </row>
    <row r="65" spans="1:344" ht="15" hidden="1" customHeight="1">
      <c r="B65" s="88">
        <f>'OKR '!D113</f>
        <v>0</v>
      </c>
      <c r="C65" s="88">
        <f>'OKR '!E113</f>
        <v>0</v>
      </c>
      <c r="D65" s="20"/>
      <c r="E65" s="75">
        <f>'OKR '!G113</f>
        <v>0</v>
      </c>
      <c r="F65" s="75">
        <f>'OKR '!H113</f>
        <v>0</v>
      </c>
      <c r="G65" s="14"/>
      <c r="H65" s="14"/>
      <c r="I65" s="31"/>
      <c r="J65" s="31"/>
      <c r="K65" s="31"/>
      <c r="L65" s="31"/>
      <c r="M65" s="31"/>
      <c r="N65" s="31"/>
      <c r="O65" s="31"/>
      <c r="P65" s="31"/>
      <c r="Q65" s="31"/>
      <c r="R65" s="31"/>
      <c r="S65" s="31"/>
      <c r="T65" s="31"/>
      <c r="U65" s="31"/>
      <c r="V65" s="31"/>
      <c r="W65" s="31"/>
      <c r="X65" s="31"/>
      <c r="Y65" s="32"/>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c r="EG65" s="31"/>
      <c r="EH65" s="31"/>
      <c r="EI65" s="31"/>
      <c r="EJ65" s="31"/>
      <c r="EK65" s="31"/>
      <c r="EL65" s="31"/>
      <c r="EM65" s="31"/>
      <c r="EN65" s="31"/>
      <c r="EO65" s="31"/>
      <c r="EP65" s="31"/>
      <c r="EQ65" s="31"/>
      <c r="ER65" s="31"/>
      <c r="ES65" s="31"/>
      <c r="ET65" s="31"/>
      <c r="EU65" s="31"/>
      <c r="EV65" s="31"/>
      <c r="EW65" s="31"/>
      <c r="EX65" s="31"/>
      <c r="EY65" s="31"/>
      <c r="EZ65" s="31"/>
      <c r="FA65" s="31"/>
      <c r="FB65" s="31"/>
      <c r="FC65" s="31"/>
      <c r="FD65" s="31"/>
      <c r="FE65" s="31"/>
      <c r="FF65" s="31"/>
      <c r="FG65" s="31"/>
      <c r="FH65" s="31"/>
      <c r="FI65" s="31"/>
      <c r="FJ65" s="31"/>
      <c r="FK65" s="31"/>
      <c r="FL65" s="31"/>
      <c r="FM65" s="31"/>
      <c r="FN65" s="31"/>
      <c r="FO65" s="31"/>
      <c r="FP65" s="31"/>
      <c r="FQ65" s="31"/>
      <c r="FR65" s="31"/>
      <c r="FS65" s="31"/>
      <c r="FT65" s="31"/>
      <c r="FU65" s="31"/>
      <c r="FV65" s="31"/>
      <c r="FW65" s="31"/>
      <c r="FX65" s="31"/>
      <c r="FY65" s="31"/>
      <c r="FZ65" s="31"/>
      <c r="GA65" s="31"/>
      <c r="GB65" s="31"/>
      <c r="GC65" s="31"/>
      <c r="GD65" s="31"/>
      <c r="GE65" s="31"/>
      <c r="GF65" s="31"/>
      <c r="GG65" s="31"/>
      <c r="GH65" s="31"/>
      <c r="GI65" s="31"/>
      <c r="GJ65" s="31"/>
      <c r="GK65" s="31"/>
      <c r="GL65" s="31"/>
      <c r="GM65" s="31"/>
      <c r="GN65" s="31"/>
      <c r="GO65" s="31"/>
      <c r="GP65" s="31"/>
      <c r="GQ65" s="31"/>
      <c r="GR65" s="31"/>
      <c r="GS65" s="31"/>
      <c r="GT65" s="31"/>
      <c r="GU65" s="31"/>
      <c r="GV65" s="31"/>
      <c r="GW65" s="31"/>
      <c r="GX65" s="31"/>
      <c r="GY65" s="31"/>
      <c r="GZ65" s="31"/>
      <c r="HA65" s="31"/>
      <c r="HB65" s="31"/>
      <c r="HC65" s="31"/>
      <c r="HD65" s="31"/>
      <c r="HE65" s="31"/>
      <c r="HF65" s="31"/>
      <c r="HG65" s="31"/>
      <c r="HH65" s="31"/>
      <c r="HI65" s="31"/>
      <c r="HJ65" s="31"/>
      <c r="HK65" s="31"/>
      <c r="HL65" s="31"/>
      <c r="HM65" s="31"/>
      <c r="HN65" s="31"/>
      <c r="HO65" s="31"/>
      <c r="HP65" s="31"/>
      <c r="HQ65" s="31"/>
      <c r="HR65" s="31"/>
      <c r="HS65" s="31"/>
      <c r="HT65" s="31"/>
      <c r="HU65" s="31"/>
      <c r="HV65" s="31"/>
      <c r="HW65" s="31"/>
      <c r="HX65" s="31"/>
      <c r="HY65" s="31"/>
      <c r="HZ65" s="31"/>
      <c r="IA65" s="31"/>
      <c r="IB65" s="31"/>
      <c r="IC65" s="31"/>
      <c r="ID65" s="31"/>
      <c r="IE65" s="31"/>
      <c r="IF65" s="31"/>
      <c r="IG65" s="31"/>
      <c r="IH65" s="31"/>
      <c r="II65" s="31"/>
      <c r="IJ65" s="31"/>
      <c r="IK65" s="31"/>
      <c r="IL65" s="31"/>
      <c r="IM65" s="31"/>
      <c r="IN65" s="31"/>
      <c r="IO65" s="31"/>
      <c r="IP65" s="31"/>
      <c r="IQ65" s="31"/>
      <c r="IR65" s="31"/>
      <c r="IS65" s="31"/>
      <c r="IT65" s="31"/>
      <c r="IU65" s="31"/>
      <c r="IV65" s="31"/>
      <c r="IW65" s="31"/>
      <c r="IX65" s="31"/>
      <c r="IY65" s="31"/>
      <c r="IZ65" s="31"/>
      <c r="JA65" s="31"/>
      <c r="JB65" s="31"/>
      <c r="JC65" s="31"/>
      <c r="JD65" s="31"/>
      <c r="JE65" s="31"/>
      <c r="JF65" s="31"/>
      <c r="JG65" s="31"/>
      <c r="JH65" s="31"/>
      <c r="JI65" s="31"/>
      <c r="JJ65" s="31"/>
      <c r="JK65" s="31"/>
      <c r="JL65" s="31"/>
      <c r="JM65" s="31"/>
      <c r="JN65" s="31"/>
      <c r="JO65" s="31"/>
      <c r="JP65" s="31"/>
      <c r="JQ65" s="31"/>
      <c r="JR65" s="31"/>
      <c r="JS65" s="31"/>
      <c r="JT65" s="31"/>
      <c r="JU65" s="31"/>
      <c r="JV65" s="31"/>
      <c r="JW65" s="31"/>
      <c r="JX65" s="31"/>
      <c r="JY65" s="31"/>
      <c r="JZ65" s="31"/>
      <c r="KA65" s="31"/>
      <c r="KB65" s="31"/>
      <c r="KC65" s="31"/>
      <c r="KD65" s="31"/>
      <c r="KE65" s="31"/>
      <c r="KF65" s="31"/>
      <c r="KG65" s="31"/>
      <c r="KH65" s="31"/>
      <c r="KI65" s="31"/>
      <c r="KJ65" s="31"/>
      <c r="KK65" s="31"/>
      <c r="KL65" s="31"/>
      <c r="KM65" s="31"/>
      <c r="KN65" s="31"/>
      <c r="KO65" s="31"/>
      <c r="KP65" s="31"/>
      <c r="KQ65" s="31"/>
      <c r="KR65" s="31"/>
      <c r="KS65" s="31"/>
      <c r="KT65" s="31"/>
      <c r="KU65" s="31"/>
      <c r="KV65" s="31"/>
      <c r="KW65" s="31"/>
      <c r="KX65" s="31"/>
      <c r="KY65" s="31"/>
      <c r="KZ65" s="31"/>
      <c r="LA65" s="31"/>
      <c r="LB65" s="31"/>
      <c r="LC65" s="31"/>
      <c r="LD65" s="31"/>
      <c r="LE65" s="31"/>
      <c r="LF65" s="31"/>
      <c r="LG65" s="31"/>
      <c r="LH65" s="31"/>
      <c r="LI65" s="31"/>
      <c r="LJ65" s="31"/>
      <c r="LK65" s="31"/>
      <c r="LL65" s="31"/>
      <c r="LM65" s="31"/>
      <c r="LN65" s="31"/>
      <c r="LO65" s="31"/>
      <c r="LP65" s="31"/>
      <c r="LQ65" s="31"/>
      <c r="LR65" s="31"/>
      <c r="LS65" s="31"/>
      <c r="LT65" s="31"/>
      <c r="LU65" s="31"/>
      <c r="LV65" s="31"/>
      <c r="LW65" s="31"/>
      <c r="LX65" s="31"/>
      <c r="LY65" s="31"/>
      <c r="LZ65" s="31"/>
      <c r="MA65" s="31"/>
      <c r="MB65" s="31"/>
      <c r="MC65" s="31"/>
      <c r="MD65" s="31"/>
      <c r="ME65" s="31"/>
      <c r="MF65" s="31"/>
    </row>
    <row r="66" spans="1:344" ht="15" hidden="1" customHeight="1">
      <c r="B66" s="88">
        <f>'OKR '!D114</f>
        <v>0</v>
      </c>
      <c r="C66" s="88">
        <f>'OKR '!E114</f>
        <v>0</v>
      </c>
      <c r="D66" s="20"/>
      <c r="E66" s="75">
        <f>'OKR '!G114</f>
        <v>0</v>
      </c>
      <c r="F66" s="75">
        <f>'OKR '!H114</f>
        <v>0</v>
      </c>
      <c r="G66" s="14"/>
      <c r="H66" s="14"/>
      <c r="I66" s="31"/>
      <c r="J66" s="31"/>
      <c r="K66" s="31"/>
      <c r="L66" s="31"/>
      <c r="M66" s="31"/>
      <c r="N66" s="31"/>
      <c r="O66" s="31"/>
      <c r="P66" s="31"/>
      <c r="Q66" s="31"/>
      <c r="R66" s="31"/>
      <c r="S66" s="31"/>
      <c r="T66" s="31"/>
      <c r="U66" s="31"/>
      <c r="V66" s="31"/>
      <c r="W66" s="31"/>
      <c r="X66" s="31"/>
      <c r="Y66" s="32"/>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c r="EG66" s="31"/>
      <c r="EH66" s="31"/>
      <c r="EI66" s="31"/>
      <c r="EJ66" s="31"/>
      <c r="EK66" s="31"/>
      <c r="EL66" s="31"/>
      <c r="EM66" s="31"/>
      <c r="EN66" s="31"/>
      <c r="EO66" s="31"/>
      <c r="EP66" s="31"/>
      <c r="EQ66" s="31"/>
      <c r="ER66" s="31"/>
      <c r="ES66" s="31"/>
      <c r="ET66" s="31"/>
      <c r="EU66" s="31"/>
      <c r="EV66" s="31"/>
      <c r="EW66" s="31"/>
      <c r="EX66" s="31"/>
      <c r="EY66" s="31"/>
      <c r="EZ66" s="31"/>
      <c r="FA66" s="31"/>
      <c r="FB66" s="31"/>
      <c r="FC66" s="31"/>
      <c r="FD66" s="31"/>
      <c r="FE66" s="31"/>
      <c r="FF66" s="31"/>
      <c r="FG66" s="31"/>
      <c r="FH66" s="31"/>
      <c r="FI66" s="31"/>
      <c r="FJ66" s="31"/>
      <c r="FK66" s="31"/>
      <c r="FL66" s="31"/>
      <c r="FM66" s="31"/>
      <c r="FN66" s="31"/>
      <c r="FO66" s="31"/>
      <c r="FP66" s="31"/>
      <c r="FQ66" s="31"/>
      <c r="FR66" s="31"/>
      <c r="FS66" s="31"/>
      <c r="FT66" s="31"/>
      <c r="FU66" s="31"/>
      <c r="FV66" s="31"/>
      <c r="FW66" s="31"/>
      <c r="FX66" s="31"/>
      <c r="FY66" s="31"/>
      <c r="FZ66" s="31"/>
      <c r="GA66" s="31"/>
      <c r="GB66" s="31"/>
      <c r="GC66" s="31"/>
      <c r="GD66" s="31"/>
      <c r="GE66" s="31"/>
      <c r="GF66" s="31"/>
      <c r="GG66" s="31"/>
      <c r="GH66" s="31"/>
      <c r="GI66" s="31"/>
      <c r="GJ66" s="31"/>
      <c r="GK66" s="31"/>
      <c r="GL66" s="31"/>
      <c r="GM66" s="31"/>
      <c r="GN66" s="31"/>
      <c r="GO66" s="31"/>
      <c r="GP66" s="31"/>
      <c r="GQ66" s="31"/>
      <c r="GR66" s="31"/>
      <c r="GS66" s="31"/>
      <c r="GT66" s="31"/>
      <c r="GU66" s="31"/>
      <c r="GV66" s="31"/>
      <c r="GW66" s="31"/>
      <c r="GX66" s="31"/>
      <c r="GY66" s="31"/>
      <c r="GZ66" s="31"/>
      <c r="HA66" s="31"/>
      <c r="HB66" s="31"/>
      <c r="HC66" s="31"/>
      <c r="HD66" s="31"/>
      <c r="HE66" s="31"/>
      <c r="HF66" s="31"/>
      <c r="HG66" s="31"/>
      <c r="HH66" s="31"/>
      <c r="HI66" s="31"/>
      <c r="HJ66" s="31"/>
      <c r="HK66" s="31"/>
      <c r="HL66" s="31"/>
      <c r="HM66" s="31"/>
      <c r="HN66" s="31"/>
      <c r="HO66" s="31"/>
      <c r="HP66" s="31"/>
      <c r="HQ66" s="31"/>
      <c r="HR66" s="31"/>
      <c r="HS66" s="31"/>
      <c r="HT66" s="31"/>
      <c r="HU66" s="31"/>
      <c r="HV66" s="31"/>
      <c r="HW66" s="31"/>
      <c r="HX66" s="31"/>
      <c r="HY66" s="31"/>
      <c r="HZ66" s="31"/>
      <c r="IA66" s="31"/>
      <c r="IB66" s="31"/>
      <c r="IC66" s="31"/>
      <c r="ID66" s="31"/>
      <c r="IE66" s="31"/>
      <c r="IF66" s="31"/>
      <c r="IG66" s="31"/>
      <c r="IH66" s="31"/>
      <c r="II66" s="31"/>
      <c r="IJ66" s="31"/>
      <c r="IK66" s="31"/>
      <c r="IL66" s="31"/>
      <c r="IM66" s="31"/>
      <c r="IN66" s="31"/>
      <c r="IO66" s="31"/>
      <c r="IP66" s="31"/>
      <c r="IQ66" s="31"/>
      <c r="IR66" s="31"/>
      <c r="IS66" s="31"/>
      <c r="IT66" s="31"/>
      <c r="IU66" s="31"/>
      <c r="IV66" s="31"/>
      <c r="IW66" s="31"/>
      <c r="IX66" s="31"/>
      <c r="IY66" s="31"/>
      <c r="IZ66" s="31"/>
      <c r="JA66" s="31"/>
      <c r="JB66" s="31"/>
      <c r="JC66" s="31"/>
      <c r="JD66" s="31"/>
      <c r="JE66" s="31"/>
      <c r="JF66" s="31"/>
      <c r="JG66" s="31"/>
      <c r="JH66" s="31"/>
      <c r="JI66" s="31"/>
      <c r="JJ66" s="31"/>
      <c r="JK66" s="31"/>
      <c r="JL66" s="31"/>
      <c r="JM66" s="31"/>
      <c r="JN66" s="31"/>
      <c r="JO66" s="31"/>
      <c r="JP66" s="31"/>
      <c r="JQ66" s="31"/>
      <c r="JR66" s="31"/>
      <c r="JS66" s="31"/>
      <c r="JT66" s="31"/>
      <c r="JU66" s="31"/>
      <c r="JV66" s="31"/>
      <c r="JW66" s="31"/>
      <c r="JX66" s="31"/>
      <c r="JY66" s="31"/>
      <c r="JZ66" s="31"/>
      <c r="KA66" s="31"/>
      <c r="KB66" s="31"/>
      <c r="KC66" s="31"/>
      <c r="KD66" s="31"/>
      <c r="KE66" s="31"/>
      <c r="KF66" s="31"/>
      <c r="KG66" s="31"/>
      <c r="KH66" s="31"/>
      <c r="KI66" s="31"/>
      <c r="KJ66" s="31"/>
      <c r="KK66" s="31"/>
      <c r="KL66" s="31"/>
      <c r="KM66" s="31"/>
      <c r="KN66" s="31"/>
      <c r="KO66" s="31"/>
      <c r="KP66" s="31"/>
      <c r="KQ66" s="31"/>
      <c r="KR66" s="31"/>
      <c r="KS66" s="31"/>
      <c r="KT66" s="31"/>
      <c r="KU66" s="31"/>
      <c r="KV66" s="31"/>
      <c r="KW66" s="31"/>
      <c r="KX66" s="31"/>
      <c r="KY66" s="31"/>
      <c r="KZ66" s="31"/>
      <c r="LA66" s="31"/>
      <c r="LB66" s="31"/>
      <c r="LC66" s="31"/>
      <c r="LD66" s="31"/>
      <c r="LE66" s="31"/>
      <c r="LF66" s="31"/>
      <c r="LG66" s="31"/>
      <c r="LH66" s="31"/>
      <c r="LI66" s="31"/>
      <c r="LJ66" s="31"/>
      <c r="LK66" s="31"/>
      <c r="LL66" s="31"/>
      <c r="LM66" s="31"/>
      <c r="LN66" s="31"/>
      <c r="LO66" s="31"/>
      <c r="LP66" s="31"/>
      <c r="LQ66" s="31"/>
      <c r="LR66" s="31"/>
      <c r="LS66" s="31"/>
      <c r="LT66" s="31"/>
      <c r="LU66" s="31"/>
      <c r="LV66" s="31"/>
      <c r="LW66" s="31"/>
      <c r="LX66" s="31"/>
      <c r="LY66" s="31"/>
      <c r="LZ66" s="31"/>
      <c r="MA66" s="31"/>
      <c r="MB66" s="31"/>
      <c r="MC66" s="31"/>
      <c r="MD66" s="31"/>
      <c r="ME66" s="31"/>
      <c r="MF66" s="31"/>
    </row>
    <row r="67" spans="1:344" ht="15" hidden="1" customHeight="1">
      <c r="B67" s="88">
        <f>'OKR '!D115</f>
        <v>0</v>
      </c>
      <c r="C67" s="88">
        <f>'OKR '!E115</f>
        <v>0</v>
      </c>
      <c r="D67" s="20"/>
      <c r="E67" s="75">
        <f>'OKR '!G115</f>
        <v>0</v>
      </c>
      <c r="F67" s="75">
        <f>'OKR '!H115</f>
        <v>0</v>
      </c>
      <c r="G67" s="14"/>
      <c r="H67" s="14">
        <f t="shared" ca="1" si="332"/>
        <v>1</v>
      </c>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c r="EG67" s="31"/>
      <c r="EH67" s="31"/>
      <c r="EI67" s="31"/>
      <c r="EJ67" s="31"/>
      <c r="EK67" s="31"/>
      <c r="EL67" s="31"/>
      <c r="EM67" s="31"/>
      <c r="EN67" s="31"/>
      <c r="EO67" s="31"/>
      <c r="EP67" s="31"/>
      <c r="EQ67" s="31"/>
      <c r="ER67" s="31"/>
      <c r="ES67" s="31"/>
      <c r="ET67" s="31"/>
      <c r="EU67" s="31"/>
      <c r="EV67" s="31"/>
      <c r="EW67" s="31"/>
      <c r="EX67" s="31"/>
      <c r="EY67" s="31"/>
      <c r="EZ67" s="31"/>
      <c r="FA67" s="31"/>
      <c r="FB67" s="31"/>
      <c r="FC67" s="31"/>
      <c r="FD67" s="31"/>
      <c r="FE67" s="31"/>
      <c r="FF67" s="31"/>
      <c r="FG67" s="31"/>
      <c r="FH67" s="31"/>
      <c r="FI67" s="31"/>
      <c r="FJ67" s="31"/>
      <c r="FK67" s="31"/>
      <c r="FL67" s="31"/>
      <c r="FM67" s="31"/>
      <c r="FN67" s="31"/>
      <c r="FO67" s="31"/>
      <c r="FP67" s="31"/>
      <c r="FQ67" s="31"/>
      <c r="FR67" s="31"/>
      <c r="FS67" s="31"/>
      <c r="FT67" s="31"/>
      <c r="FU67" s="31"/>
      <c r="FV67" s="31"/>
      <c r="FW67" s="31"/>
      <c r="FX67" s="31"/>
      <c r="FY67" s="31"/>
      <c r="FZ67" s="31"/>
      <c r="GA67" s="31"/>
      <c r="GB67" s="31"/>
      <c r="GC67" s="31"/>
      <c r="GD67" s="31"/>
      <c r="GE67" s="31"/>
      <c r="GF67" s="31"/>
      <c r="GG67" s="31"/>
      <c r="GH67" s="31"/>
      <c r="GI67" s="31"/>
      <c r="GJ67" s="31"/>
      <c r="GK67" s="31"/>
      <c r="GL67" s="31"/>
      <c r="GM67" s="31"/>
      <c r="GN67" s="31"/>
      <c r="GO67" s="31"/>
      <c r="GP67" s="31"/>
      <c r="GQ67" s="31"/>
      <c r="GR67" s="31"/>
      <c r="GS67" s="31"/>
      <c r="GT67" s="31"/>
      <c r="GU67" s="31"/>
      <c r="GV67" s="31"/>
      <c r="GW67" s="31"/>
      <c r="GX67" s="31"/>
      <c r="GY67" s="31"/>
      <c r="GZ67" s="31"/>
      <c r="HA67" s="31"/>
      <c r="HB67" s="31"/>
      <c r="HC67" s="31"/>
      <c r="HD67" s="31"/>
      <c r="HE67" s="31"/>
      <c r="HF67" s="31"/>
      <c r="HG67" s="31"/>
      <c r="HH67" s="31"/>
      <c r="HI67" s="31"/>
      <c r="HJ67" s="31"/>
      <c r="HK67" s="31"/>
      <c r="HL67" s="31"/>
      <c r="HM67" s="31"/>
      <c r="HN67" s="31"/>
      <c r="HO67" s="31"/>
      <c r="HP67" s="31"/>
      <c r="HQ67" s="31"/>
      <c r="HR67" s="31"/>
      <c r="HS67" s="31"/>
      <c r="HT67" s="31"/>
      <c r="HU67" s="31"/>
      <c r="HV67" s="31"/>
      <c r="HW67" s="31"/>
      <c r="HX67" s="31"/>
      <c r="HY67" s="31"/>
      <c r="HZ67" s="31"/>
      <c r="IA67" s="31"/>
      <c r="IB67" s="31"/>
      <c r="IC67" s="31"/>
      <c r="ID67" s="31"/>
      <c r="IE67" s="31"/>
      <c r="IF67" s="31"/>
      <c r="IG67" s="31"/>
      <c r="IH67" s="31"/>
      <c r="II67" s="31"/>
      <c r="IJ67" s="31"/>
      <c r="IK67" s="31"/>
      <c r="IL67" s="31"/>
      <c r="IM67" s="31"/>
      <c r="IN67" s="31"/>
      <c r="IO67" s="31"/>
      <c r="IP67" s="31"/>
      <c r="IQ67" s="31"/>
      <c r="IR67" s="31"/>
      <c r="IS67" s="31"/>
      <c r="IT67" s="31"/>
      <c r="IU67" s="31"/>
      <c r="IV67" s="31"/>
      <c r="IW67" s="31"/>
      <c r="IX67" s="31"/>
      <c r="IY67" s="31"/>
      <c r="IZ67" s="31"/>
      <c r="JA67" s="31"/>
      <c r="JB67" s="31"/>
      <c r="JC67" s="31"/>
      <c r="JD67" s="31"/>
      <c r="JE67" s="31"/>
      <c r="JF67" s="31"/>
      <c r="JG67" s="31"/>
      <c r="JH67" s="31"/>
      <c r="JI67" s="31"/>
      <c r="JJ67" s="31"/>
      <c r="JK67" s="31"/>
      <c r="JL67" s="31"/>
      <c r="JM67" s="31"/>
      <c r="JN67" s="31"/>
      <c r="JO67" s="31"/>
      <c r="JP67" s="31"/>
      <c r="JQ67" s="31"/>
      <c r="JR67" s="31"/>
      <c r="JS67" s="31"/>
      <c r="JT67" s="31"/>
      <c r="JU67" s="31"/>
      <c r="JV67" s="31"/>
      <c r="JW67" s="31"/>
      <c r="JX67" s="31"/>
      <c r="JY67" s="31"/>
      <c r="JZ67" s="31"/>
      <c r="KA67" s="31"/>
      <c r="KB67" s="31"/>
      <c r="KC67" s="31"/>
      <c r="KD67" s="31"/>
      <c r="KE67" s="31"/>
      <c r="KF67" s="31"/>
      <c r="KG67" s="31"/>
      <c r="KH67" s="31"/>
      <c r="KI67" s="31"/>
      <c r="KJ67" s="31"/>
      <c r="KK67" s="31"/>
      <c r="KL67" s="31"/>
      <c r="KM67" s="31"/>
      <c r="KN67" s="31"/>
      <c r="KO67" s="31"/>
      <c r="KP67" s="31"/>
      <c r="KQ67" s="31"/>
      <c r="KR67" s="31"/>
      <c r="KS67" s="31"/>
      <c r="KT67" s="31"/>
      <c r="KU67" s="31"/>
      <c r="KV67" s="31"/>
      <c r="KW67" s="31"/>
      <c r="KX67" s="31"/>
      <c r="KY67" s="31"/>
      <c r="KZ67" s="31"/>
      <c r="LA67" s="31"/>
      <c r="LB67" s="31"/>
      <c r="LC67" s="31"/>
      <c r="LD67" s="31"/>
      <c r="LE67" s="31"/>
      <c r="LF67" s="31"/>
      <c r="LG67" s="31"/>
      <c r="LH67" s="31"/>
      <c r="LI67" s="31"/>
      <c r="LJ67" s="31"/>
      <c r="LK67" s="31"/>
      <c r="LL67" s="31"/>
      <c r="LM67" s="31"/>
      <c r="LN67" s="31"/>
      <c r="LO67" s="31"/>
      <c r="LP67" s="31"/>
      <c r="LQ67" s="31"/>
      <c r="LR67" s="31"/>
      <c r="LS67" s="31"/>
      <c r="LT67" s="31"/>
      <c r="LU67" s="31"/>
      <c r="LV67" s="31"/>
      <c r="LW67" s="31"/>
      <c r="LX67" s="31"/>
      <c r="LY67" s="31"/>
      <c r="LZ67" s="31"/>
      <c r="MA67" s="31"/>
      <c r="MB67" s="31"/>
      <c r="MC67" s="31"/>
      <c r="MD67" s="31"/>
      <c r="ME67" s="31"/>
      <c r="MF67" s="31"/>
    </row>
    <row r="68" spans="1:344" ht="15" hidden="1" customHeight="1">
      <c r="B68" s="88">
        <f>'OKR '!D116</f>
        <v>0</v>
      </c>
      <c r="C68" s="88">
        <f>'OKR '!E116</f>
        <v>0</v>
      </c>
      <c r="D68" s="20"/>
      <c r="E68" s="75">
        <f>'OKR '!G116</f>
        <v>0</v>
      </c>
      <c r="F68" s="75">
        <f>'OKR '!H116</f>
        <v>0</v>
      </c>
      <c r="G68" s="14"/>
      <c r="H68" s="14"/>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c r="EG68" s="31"/>
      <c r="EH68" s="31"/>
      <c r="EI68" s="31"/>
      <c r="EJ68" s="31"/>
      <c r="EK68" s="31"/>
      <c r="EL68" s="31"/>
      <c r="EM68" s="31"/>
      <c r="EN68" s="31"/>
      <c r="EO68" s="31"/>
      <c r="EP68" s="31"/>
      <c r="EQ68" s="31"/>
      <c r="ER68" s="31"/>
      <c r="ES68" s="31"/>
      <c r="ET68" s="31"/>
      <c r="EU68" s="31"/>
      <c r="EV68" s="31"/>
      <c r="EW68" s="31"/>
      <c r="EX68" s="31"/>
      <c r="EY68" s="31"/>
      <c r="EZ68" s="31"/>
      <c r="FA68" s="31"/>
      <c r="FB68" s="31"/>
      <c r="FC68" s="31"/>
      <c r="FD68" s="31"/>
      <c r="FE68" s="31"/>
      <c r="FF68" s="31"/>
      <c r="FG68" s="31"/>
      <c r="FH68" s="31"/>
      <c r="FI68" s="31"/>
      <c r="FJ68" s="31"/>
      <c r="FK68" s="31"/>
      <c r="FL68" s="31"/>
      <c r="FM68" s="31"/>
      <c r="FN68" s="31"/>
      <c r="FO68" s="31"/>
      <c r="FP68" s="31"/>
      <c r="FQ68" s="31"/>
      <c r="FR68" s="31"/>
      <c r="FS68" s="31"/>
      <c r="FT68" s="31"/>
      <c r="FU68" s="31"/>
      <c r="FV68" s="31"/>
      <c r="FW68" s="31"/>
      <c r="FX68" s="31"/>
      <c r="FY68" s="31"/>
      <c r="FZ68" s="31"/>
      <c r="GA68" s="31"/>
      <c r="GB68" s="31"/>
      <c r="GC68" s="31"/>
      <c r="GD68" s="31"/>
      <c r="GE68" s="31"/>
      <c r="GF68" s="31"/>
      <c r="GG68" s="31"/>
      <c r="GH68" s="31"/>
      <c r="GI68" s="31"/>
      <c r="GJ68" s="31"/>
      <c r="GK68" s="31"/>
      <c r="GL68" s="31"/>
      <c r="GM68" s="31"/>
      <c r="GN68" s="31"/>
      <c r="GO68" s="31"/>
      <c r="GP68" s="31"/>
      <c r="GQ68" s="31"/>
      <c r="GR68" s="31"/>
      <c r="GS68" s="31"/>
      <c r="GT68" s="31"/>
      <c r="GU68" s="31"/>
      <c r="GV68" s="31"/>
      <c r="GW68" s="31"/>
      <c r="GX68" s="31"/>
      <c r="GY68" s="31"/>
      <c r="GZ68" s="31"/>
      <c r="HA68" s="31"/>
      <c r="HB68" s="31"/>
      <c r="HC68" s="31"/>
      <c r="HD68" s="31"/>
      <c r="HE68" s="31"/>
      <c r="HF68" s="31"/>
      <c r="HG68" s="31"/>
      <c r="HH68" s="31"/>
      <c r="HI68" s="31"/>
      <c r="HJ68" s="31"/>
      <c r="HK68" s="31"/>
      <c r="HL68" s="31"/>
      <c r="HM68" s="31"/>
      <c r="HN68" s="31"/>
      <c r="HO68" s="31"/>
      <c r="HP68" s="31"/>
      <c r="HQ68" s="31"/>
      <c r="HR68" s="31"/>
      <c r="HS68" s="31"/>
      <c r="HT68" s="31"/>
      <c r="HU68" s="31"/>
      <c r="HV68" s="31"/>
      <c r="HW68" s="31"/>
      <c r="HX68" s="31"/>
      <c r="HY68" s="31"/>
      <c r="HZ68" s="31"/>
      <c r="IA68" s="31"/>
      <c r="IB68" s="31"/>
      <c r="IC68" s="31"/>
      <c r="ID68" s="31"/>
      <c r="IE68" s="31"/>
      <c r="IF68" s="31"/>
      <c r="IG68" s="31"/>
      <c r="IH68" s="31"/>
      <c r="II68" s="31"/>
      <c r="IJ68" s="31"/>
      <c r="IK68" s="31"/>
      <c r="IL68" s="31"/>
      <c r="IM68" s="31"/>
      <c r="IN68" s="31"/>
      <c r="IO68" s="31"/>
      <c r="IP68" s="31"/>
      <c r="IQ68" s="31"/>
      <c r="IR68" s="31"/>
      <c r="IS68" s="31"/>
      <c r="IT68" s="31"/>
      <c r="IU68" s="31"/>
      <c r="IV68" s="31"/>
      <c r="IW68" s="31"/>
      <c r="IX68" s="31"/>
      <c r="IY68" s="31"/>
      <c r="IZ68" s="31"/>
      <c r="JA68" s="31"/>
      <c r="JB68" s="31"/>
      <c r="JC68" s="31"/>
      <c r="JD68" s="31"/>
      <c r="JE68" s="31"/>
      <c r="JF68" s="31"/>
      <c r="JG68" s="31"/>
      <c r="JH68" s="31"/>
      <c r="JI68" s="31"/>
      <c r="JJ68" s="31"/>
      <c r="JK68" s="31"/>
      <c r="JL68" s="31"/>
      <c r="JM68" s="31"/>
      <c r="JN68" s="31"/>
      <c r="JO68" s="31"/>
      <c r="JP68" s="31"/>
      <c r="JQ68" s="31"/>
      <c r="JR68" s="31"/>
      <c r="JS68" s="31"/>
      <c r="JT68" s="31"/>
      <c r="JU68" s="31"/>
      <c r="JV68" s="31"/>
      <c r="JW68" s="31"/>
      <c r="JX68" s="31"/>
      <c r="JY68" s="31"/>
      <c r="JZ68" s="31"/>
      <c r="KA68" s="31"/>
      <c r="KB68" s="31"/>
      <c r="KC68" s="31"/>
      <c r="KD68" s="31"/>
      <c r="KE68" s="31"/>
      <c r="KF68" s="31"/>
      <c r="KG68" s="31"/>
      <c r="KH68" s="31"/>
      <c r="KI68" s="31"/>
      <c r="KJ68" s="31"/>
      <c r="KK68" s="31"/>
      <c r="KL68" s="31"/>
      <c r="KM68" s="31"/>
      <c r="KN68" s="31"/>
      <c r="KO68" s="31"/>
      <c r="KP68" s="31"/>
      <c r="KQ68" s="31"/>
      <c r="KR68" s="31"/>
      <c r="KS68" s="31"/>
      <c r="KT68" s="31"/>
      <c r="KU68" s="31"/>
      <c r="KV68" s="31"/>
      <c r="KW68" s="31"/>
      <c r="KX68" s="31"/>
      <c r="KY68" s="31"/>
      <c r="KZ68" s="31"/>
      <c r="LA68" s="31"/>
      <c r="LB68" s="31"/>
      <c r="LC68" s="31"/>
      <c r="LD68" s="31"/>
      <c r="LE68" s="31"/>
      <c r="LF68" s="31"/>
      <c r="LG68" s="31"/>
      <c r="LH68" s="31"/>
      <c r="LI68" s="31"/>
      <c r="LJ68" s="31"/>
      <c r="LK68" s="31"/>
      <c r="LL68" s="31"/>
      <c r="LM68" s="31"/>
      <c r="LN68" s="31"/>
      <c r="LO68" s="31"/>
      <c r="LP68" s="31"/>
      <c r="LQ68" s="31"/>
      <c r="LR68" s="31"/>
      <c r="LS68" s="31"/>
      <c r="LT68" s="31"/>
      <c r="LU68" s="31"/>
      <c r="LV68" s="31"/>
      <c r="LW68" s="31"/>
      <c r="LX68" s="31"/>
      <c r="LY68" s="31"/>
      <c r="LZ68" s="31"/>
      <c r="MA68" s="31"/>
      <c r="MB68" s="31"/>
      <c r="MC68" s="31"/>
      <c r="MD68" s="31"/>
      <c r="ME68" s="31"/>
      <c r="MF68" s="31"/>
    </row>
    <row r="69" spans="1:344" ht="30" customHeight="1">
      <c r="A69" s="46" t="s">
        <v>169</v>
      </c>
      <c r="B69" s="267" t="str">
        <f>'OKR '!D122</f>
        <v>Consolidar o uso da telessaúde na microrregião</v>
      </c>
      <c r="C69" s="267"/>
      <c r="D69" s="267"/>
      <c r="E69" s="267"/>
      <c r="F69" s="267"/>
      <c r="G69" s="14"/>
      <c r="H69" s="14" t="str">
        <f t="shared" ca="1" si="332"/>
        <v/>
      </c>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c r="EG69" s="31"/>
      <c r="EH69" s="31"/>
      <c r="EI69" s="31"/>
      <c r="EJ69" s="31"/>
      <c r="EK69" s="31"/>
      <c r="EL69" s="31"/>
      <c r="EM69" s="31"/>
      <c r="EN69" s="31"/>
      <c r="EO69" s="31"/>
      <c r="EP69" s="31"/>
      <c r="EQ69" s="31"/>
      <c r="ER69" s="31"/>
      <c r="ES69" s="31"/>
      <c r="ET69" s="31"/>
      <c r="EU69" s="31"/>
      <c r="EV69" s="31"/>
      <c r="EW69" s="31"/>
      <c r="EX69" s="31"/>
      <c r="EY69" s="31"/>
      <c r="EZ69" s="31"/>
      <c r="FA69" s="31"/>
      <c r="FB69" s="31"/>
      <c r="FC69" s="31"/>
      <c r="FD69" s="31"/>
      <c r="FE69" s="31"/>
      <c r="FF69" s="31"/>
      <c r="FG69" s="31"/>
      <c r="FH69" s="31"/>
      <c r="FI69" s="31"/>
      <c r="FJ69" s="31"/>
      <c r="FK69" s="31"/>
      <c r="FL69" s="31"/>
      <c r="FM69" s="31"/>
      <c r="FN69" s="31"/>
      <c r="FO69" s="31"/>
      <c r="FP69" s="31"/>
      <c r="FQ69" s="31"/>
      <c r="FR69" s="31"/>
      <c r="FS69" s="31"/>
      <c r="FT69" s="31"/>
      <c r="FU69" s="31"/>
      <c r="FV69" s="31"/>
      <c r="FW69" s="31"/>
      <c r="FX69" s="31"/>
      <c r="FY69" s="31"/>
      <c r="FZ69" s="31"/>
      <c r="GA69" s="31"/>
      <c r="GB69" s="31"/>
      <c r="GC69" s="31"/>
      <c r="GD69" s="31"/>
      <c r="GE69" s="31"/>
      <c r="GF69" s="31"/>
      <c r="GG69" s="31"/>
      <c r="GH69" s="31"/>
      <c r="GI69" s="31"/>
      <c r="GJ69" s="31"/>
      <c r="GK69" s="31"/>
      <c r="GL69" s="31"/>
      <c r="GM69" s="31"/>
      <c r="GN69" s="31"/>
      <c r="GO69" s="31"/>
      <c r="GP69" s="31"/>
      <c r="GQ69" s="31"/>
      <c r="GR69" s="31"/>
      <c r="GS69" s="31"/>
      <c r="GT69" s="31"/>
      <c r="GU69" s="31"/>
      <c r="GV69" s="31"/>
      <c r="GW69" s="31"/>
      <c r="GX69" s="31"/>
      <c r="GY69" s="31"/>
      <c r="GZ69" s="31"/>
      <c r="HA69" s="31"/>
      <c r="HB69" s="31"/>
      <c r="HC69" s="31"/>
      <c r="HD69" s="31"/>
      <c r="HE69" s="31"/>
      <c r="HF69" s="31"/>
      <c r="HG69" s="31"/>
      <c r="HH69" s="31"/>
      <c r="HI69" s="31"/>
      <c r="HJ69" s="31"/>
      <c r="HK69" s="31"/>
      <c r="HL69" s="31"/>
      <c r="HM69" s="31"/>
      <c r="HN69" s="31"/>
      <c r="HO69" s="31"/>
      <c r="HP69" s="31"/>
      <c r="HQ69" s="31"/>
      <c r="HR69" s="31"/>
      <c r="HS69" s="31"/>
      <c r="HT69" s="31"/>
      <c r="HU69" s="31"/>
      <c r="HV69" s="31"/>
      <c r="HW69" s="31"/>
      <c r="HX69" s="31"/>
      <c r="HY69" s="31"/>
      <c r="HZ69" s="31"/>
      <c r="IA69" s="31"/>
      <c r="IB69" s="31"/>
      <c r="IC69" s="31"/>
      <c r="ID69" s="31"/>
      <c r="IE69" s="31"/>
      <c r="IF69" s="31"/>
      <c r="IG69" s="31"/>
      <c r="IH69" s="31"/>
      <c r="II69" s="31"/>
      <c r="IJ69" s="31"/>
      <c r="IK69" s="31"/>
      <c r="IL69" s="31"/>
      <c r="IM69" s="31"/>
      <c r="IN69" s="31"/>
      <c r="IO69" s="31"/>
      <c r="IP69" s="31"/>
      <c r="IQ69" s="31"/>
      <c r="IR69" s="31"/>
      <c r="IS69" s="31"/>
      <c r="IT69" s="31"/>
      <c r="IU69" s="31"/>
      <c r="IV69" s="31"/>
      <c r="IW69" s="31"/>
      <c r="IX69" s="31"/>
      <c r="IY69" s="31"/>
      <c r="IZ69" s="31"/>
      <c r="JA69" s="31"/>
      <c r="JB69" s="31"/>
      <c r="JC69" s="31"/>
      <c r="JD69" s="31"/>
      <c r="JE69" s="31"/>
      <c r="JF69" s="31"/>
      <c r="JG69" s="31"/>
      <c r="JH69" s="31"/>
      <c r="JI69" s="31"/>
      <c r="JJ69" s="31"/>
      <c r="JK69" s="31"/>
      <c r="JL69" s="31"/>
      <c r="JM69" s="31"/>
      <c r="JN69" s="31"/>
      <c r="JO69" s="31"/>
      <c r="JP69" s="31"/>
      <c r="JQ69" s="31"/>
      <c r="JR69" s="31"/>
      <c r="JS69" s="31"/>
      <c r="JT69" s="31"/>
      <c r="JU69" s="31"/>
      <c r="JV69" s="31"/>
      <c r="JW69" s="31"/>
      <c r="JX69" s="31"/>
      <c r="JY69" s="31"/>
      <c r="JZ69" s="31"/>
      <c r="KA69" s="31"/>
      <c r="KB69" s="31"/>
      <c r="KC69" s="31"/>
      <c r="KD69" s="31"/>
      <c r="KE69" s="31"/>
      <c r="KF69" s="31"/>
      <c r="KG69" s="31"/>
      <c r="KH69" s="31"/>
      <c r="KI69" s="31"/>
      <c r="KJ69" s="31"/>
      <c r="KK69" s="31"/>
      <c r="KL69" s="31"/>
      <c r="KM69" s="31"/>
      <c r="KN69" s="31"/>
      <c r="KO69" s="31"/>
      <c r="KP69" s="31"/>
      <c r="KQ69" s="31"/>
      <c r="KR69" s="31"/>
      <c r="KS69" s="31"/>
      <c r="KT69" s="31"/>
      <c r="KU69" s="31"/>
      <c r="KV69" s="31"/>
      <c r="KW69" s="31"/>
      <c r="KX69" s="31"/>
      <c r="KY69" s="31"/>
      <c r="KZ69" s="31"/>
      <c r="LA69" s="31"/>
      <c r="LB69" s="31"/>
      <c r="LC69" s="31"/>
      <c r="LD69" s="31"/>
      <c r="LE69" s="31"/>
      <c r="LF69" s="31"/>
      <c r="LG69" s="31"/>
      <c r="LH69" s="31"/>
      <c r="LI69" s="31"/>
      <c r="LJ69" s="31"/>
      <c r="LK69" s="31"/>
      <c r="LL69" s="31"/>
      <c r="LM69" s="31"/>
      <c r="LN69" s="31"/>
      <c r="LO69" s="31"/>
      <c r="LP69" s="31"/>
      <c r="LQ69" s="31"/>
      <c r="LR69" s="31"/>
      <c r="LS69" s="31"/>
      <c r="LT69" s="31"/>
      <c r="LU69" s="31"/>
      <c r="LV69" s="31"/>
      <c r="LW69" s="31"/>
      <c r="LX69" s="31"/>
      <c r="LY69" s="31"/>
      <c r="LZ69" s="31"/>
      <c r="MA69" s="31"/>
      <c r="MB69" s="31"/>
      <c r="MC69" s="31"/>
      <c r="MD69" s="31"/>
      <c r="ME69" s="31"/>
      <c r="MF69" s="31"/>
    </row>
    <row r="70" spans="1:344" ht="56.25" customHeight="1">
      <c r="B70" s="120" t="str">
        <f>'OKR '!D125</f>
        <v>Definir agendas seguras para realização das teleconsultorias</v>
      </c>
      <c r="C70" s="120" t="str">
        <f>'OKR '!E125</f>
        <v xml:space="preserve">Área Técnica das SMS / Gestores com tomada de decisão </v>
      </c>
      <c r="D70" s="90"/>
      <c r="E70" s="143">
        <f>'OKR '!G125</f>
        <v>46055</v>
      </c>
      <c r="F70" s="143">
        <f>'OKR '!H125</f>
        <v>46112</v>
      </c>
      <c r="G70" s="14"/>
      <c r="H70" s="14"/>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c r="DQ70" s="31"/>
      <c r="DR70" s="31"/>
      <c r="DS70" s="31"/>
      <c r="DT70" s="31"/>
      <c r="DU70" s="31"/>
      <c r="DV70" s="31"/>
      <c r="DW70" s="31"/>
      <c r="DX70" s="31"/>
      <c r="DY70" s="31"/>
      <c r="DZ70" s="31"/>
      <c r="EA70" s="31"/>
      <c r="EB70" s="31"/>
      <c r="EC70" s="31"/>
      <c r="ED70" s="31"/>
      <c r="EE70" s="31"/>
      <c r="EF70" s="31"/>
      <c r="EG70" s="31"/>
      <c r="EH70" s="31"/>
      <c r="EI70" s="31"/>
      <c r="EJ70" s="31"/>
      <c r="EK70" s="31"/>
      <c r="EL70" s="31"/>
      <c r="EM70" s="31"/>
      <c r="EN70" s="31"/>
      <c r="EO70" s="31"/>
      <c r="EP70" s="31"/>
      <c r="EQ70" s="31"/>
      <c r="ER70" s="31"/>
      <c r="ES70" s="31"/>
      <c r="ET70" s="31"/>
      <c r="EU70" s="31"/>
      <c r="EV70" s="31"/>
      <c r="EW70" s="31"/>
      <c r="EX70" s="31"/>
      <c r="EY70" s="31"/>
      <c r="EZ70" s="31"/>
      <c r="FA70" s="31"/>
      <c r="FB70" s="31"/>
      <c r="FC70" s="31"/>
      <c r="FD70" s="31"/>
      <c r="FE70" s="31"/>
      <c r="FF70" s="31"/>
      <c r="FG70" s="31"/>
      <c r="FH70" s="31"/>
      <c r="FI70" s="31"/>
      <c r="FJ70" s="31"/>
      <c r="FK70" s="31"/>
      <c r="FL70" s="31"/>
      <c r="FM70" s="31"/>
      <c r="FN70" s="31"/>
      <c r="FO70" s="31"/>
      <c r="FP70" s="31"/>
      <c r="FQ70" s="31"/>
      <c r="FR70" s="31"/>
      <c r="FS70" s="31"/>
      <c r="FT70" s="31"/>
      <c r="FU70" s="31"/>
      <c r="FV70" s="31"/>
      <c r="FW70" s="31"/>
      <c r="FX70" s="31"/>
      <c r="FY70" s="31"/>
      <c r="FZ70" s="31"/>
      <c r="GA70" s="31"/>
      <c r="GB70" s="31"/>
      <c r="GC70" s="31"/>
      <c r="GD70" s="31"/>
      <c r="GE70" s="31"/>
      <c r="GF70" s="31"/>
      <c r="GG70" s="31"/>
      <c r="GH70" s="31"/>
      <c r="GI70" s="31"/>
      <c r="GJ70" s="31"/>
      <c r="GK70" s="31"/>
      <c r="GL70" s="31"/>
      <c r="GM70" s="31"/>
      <c r="GN70" s="31"/>
      <c r="GO70" s="31"/>
      <c r="GP70" s="31"/>
      <c r="GQ70" s="31"/>
      <c r="GR70" s="31"/>
      <c r="GS70" s="31"/>
      <c r="GT70" s="31"/>
      <c r="GU70" s="31"/>
      <c r="GV70" s="31"/>
      <c r="GW70" s="31"/>
      <c r="GX70" s="31"/>
      <c r="GY70" s="31"/>
      <c r="GZ70" s="31"/>
      <c r="HA70" s="31"/>
      <c r="HB70" s="31"/>
      <c r="HC70" s="31"/>
      <c r="HD70" s="31"/>
      <c r="HE70" s="31"/>
      <c r="HF70" s="31"/>
      <c r="HG70" s="31"/>
      <c r="HH70" s="31"/>
      <c r="HI70" s="31"/>
      <c r="HJ70" s="31"/>
      <c r="HK70" s="31"/>
      <c r="HL70" s="31"/>
      <c r="HM70" s="31"/>
      <c r="HN70" s="31"/>
      <c r="HO70" s="31"/>
      <c r="HP70" s="31"/>
      <c r="HQ70" s="31"/>
      <c r="HR70" s="31"/>
      <c r="HS70" s="31"/>
      <c r="HT70" s="31"/>
      <c r="HU70" s="31"/>
      <c r="HV70" s="31"/>
      <c r="HW70" s="31"/>
      <c r="HX70" s="31"/>
      <c r="HY70" s="31"/>
      <c r="HZ70" s="31"/>
      <c r="IA70" s="31"/>
      <c r="IB70" s="31"/>
      <c r="IC70" s="31"/>
      <c r="ID70" s="31"/>
      <c r="IE70" s="31"/>
      <c r="IF70" s="31"/>
      <c r="IG70" s="31"/>
      <c r="IH70" s="31"/>
      <c r="II70" s="31"/>
      <c r="IJ70" s="31"/>
      <c r="IK70" s="31"/>
      <c r="IL70" s="31"/>
      <c r="IM70" s="31"/>
      <c r="IN70" s="31"/>
      <c r="IO70" s="31"/>
      <c r="IP70" s="31"/>
      <c r="IQ70" s="31"/>
      <c r="IR70" s="31"/>
      <c r="IS70" s="31"/>
      <c r="IT70" s="31"/>
      <c r="IU70" s="31"/>
      <c r="IV70" s="31"/>
      <c r="IW70" s="31"/>
      <c r="IX70" s="31"/>
      <c r="IY70" s="31"/>
      <c r="IZ70" s="31"/>
      <c r="JA70" s="31"/>
      <c r="JB70" s="31"/>
      <c r="JC70" s="31"/>
      <c r="JD70" s="31"/>
      <c r="JE70" s="31"/>
      <c r="JF70" s="31"/>
      <c r="JG70" s="31"/>
      <c r="JH70" s="31"/>
      <c r="JI70" s="31"/>
      <c r="JJ70" s="31"/>
      <c r="JK70" s="31"/>
      <c r="JL70" s="31"/>
      <c r="JM70" s="31"/>
      <c r="JN70" s="31"/>
      <c r="JO70" s="31"/>
      <c r="JP70" s="31"/>
      <c r="JQ70" s="31"/>
      <c r="JR70" s="31"/>
      <c r="JS70" s="31"/>
      <c r="JT70" s="31"/>
      <c r="JU70" s="31"/>
      <c r="JV70" s="31"/>
      <c r="JW70" s="31"/>
      <c r="JX70" s="31"/>
      <c r="JY70" s="31"/>
      <c r="JZ70" s="31"/>
      <c r="KA70" s="31"/>
      <c r="KB70" s="31"/>
      <c r="KC70" s="31"/>
      <c r="KD70" s="31"/>
      <c r="KE70" s="31"/>
      <c r="KF70" s="31"/>
      <c r="KG70" s="31"/>
      <c r="KH70" s="31"/>
      <c r="KI70" s="31"/>
      <c r="KJ70" s="31"/>
      <c r="KK70" s="31"/>
      <c r="KL70" s="31"/>
      <c r="KM70" s="31"/>
      <c r="KN70" s="31"/>
      <c r="KO70" s="31"/>
      <c r="KP70" s="31"/>
      <c r="KQ70" s="31"/>
      <c r="KR70" s="31"/>
      <c r="KS70" s="31"/>
      <c r="KT70" s="31"/>
      <c r="KU70" s="31"/>
      <c r="KV70" s="31"/>
      <c r="KW70" s="31"/>
      <c r="KX70" s="31"/>
      <c r="KY70" s="31"/>
      <c r="KZ70" s="31"/>
      <c r="LA70" s="31"/>
      <c r="LB70" s="31"/>
      <c r="LC70" s="31"/>
      <c r="LD70" s="31"/>
      <c r="LE70" s="31"/>
      <c r="LF70" s="31"/>
      <c r="LG70" s="31"/>
      <c r="LH70" s="31"/>
      <c r="LI70" s="31"/>
      <c r="LJ70" s="31"/>
      <c r="LK70" s="31"/>
      <c r="LL70" s="31"/>
      <c r="LM70" s="31"/>
      <c r="LN70" s="31"/>
      <c r="LO70" s="31"/>
      <c r="LP70" s="31"/>
      <c r="LQ70" s="31"/>
      <c r="LR70" s="31"/>
      <c r="LS70" s="31"/>
      <c r="LT70" s="31"/>
      <c r="LU70" s="31"/>
      <c r="LV70" s="31"/>
      <c r="LW70" s="31"/>
      <c r="LX70" s="31"/>
      <c r="LY70" s="31"/>
      <c r="LZ70" s="31"/>
      <c r="MA70" s="31"/>
      <c r="MB70" s="31"/>
      <c r="MC70" s="31"/>
      <c r="MD70" s="31"/>
      <c r="ME70" s="31"/>
      <c r="MF70" s="31"/>
    </row>
    <row r="71" spans="1:344" ht="56.25" customHeight="1">
      <c r="B71" s="120" t="str">
        <f>'OKR '!D126</f>
        <v>Criar repositório permanente de casos e estudos</v>
      </c>
      <c r="C71" s="120" t="str">
        <f>'OKR '!E126</f>
        <v xml:space="preserve">Grupo de Estudo </v>
      </c>
      <c r="D71" s="90"/>
      <c r="E71" s="143">
        <f>'OKR '!G126</f>
        <v>46055</v>
      </c>
      <c r="F71" s="143">
        <f>'OKR '!H126</f>
        <v>46112</v>
      </c>
      <c r="G71" s="14"/>
      <c r="H71" s="14"/>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c r="EG71" s="31"/>
      <c r="EH71" s="31"/>
      <c r="EI71" s="31"/>
      <c r="EJ71" s="31"/>
      <c r="EK71" s="31"/>
      <c r="EL71" s="31"/>
      <c r="EM71" s="31"/>
      <c r="EN71" s="31"/>
      <c r="EO71" s="31"/>
      <c r="EP71" s="31"/>
      <c r="EQ71" s="31"/>
      <c r="ER71" s="31"/>
      <c r="ES71" s="31"/>
      <c r="ET71" s="31"/>
      <c r="EU71" s="31"/>
      <c r="EV71" s="31"/>
      <c r="EW71" s="31"/>
      <c r="EX71" s="31"/>
      <c r="EY71" s="31"/>
      <c r="EZ71" s="31"/>
      <c r="FA71" s="31"/>
      <c r="FB71" s="31"/>
      <c r="FC71" s="31"/>
      <c r="FD71" s="31"/>
      <c r="FE71" s="31"/>
      <c r="FF71" s="31"/>
      <c r="FG71" s="31"/>
      <c r="FH71" s="31"/>
      <c r="FI71" s="31"/>
      <c r="FJ71" s="31"/>
      <c r="FK71" s="31"/>
      <c r="FL71" s="31"/>
      <c r="FM71" s="31"/>
      <c r="FN71" s="31"/>
      <c r="FO71" s="31"/>
      <c r="FP71" s="31"/>
      <c r="FQ71" s="31"/>
      <c r="FR71" s="31"/>
      <c r="FS71" s="31"/>
      <c r="FT71" s="31"/>
      <c r="FU71" s="31"/>
      <c r="FV71" s="31"/>
      <c r="FW71" s="31"/>
      <c r="FX71" s="31"/>
      <c r="FY71" s="31"/>
      <c r="FZ71" s="31"/>
      <c r="GA71" s="31"/>
      <c r="GB71" s="31"/>
      <c r="GC71" s="31"/>
      <c r="GD71" s="31"/>
      <c r="GE71" s="31"/>
      <c r="GF71" s="31"/>
      <c r="GG71" s="31"/>
      <c r="GH71" s="31"/>
      <c r="GI71" s="31"/>
      <c r="GJ71" s="31"/>
      <c r="GK71" s="31"/>
      <c r="GL71" s="31"/>
      <c r="GM71" s="31"/>
      <c r="GN71" s="31"/>
      <c r="GO71" s="31"/>
      <c r="GP71" s="31"/>
      <c r="GQ71" s="31"/>
      <c r="GR71" s="31"/>
      <c r="GS71" s="31"/>
      <c r="GT71" s="31"/>
      <c r="GU71" s="31"/>
      <c r="GV71" s="31"/>
      <c r="GW71" s="31"/>
      <c r="GX71" s="31"/>
      <c r="GY71" s="31"/>
      <c r="GZ71" s="31"/>
      <c r="HA71" s="31"/>
      <c r="HB71" s="31"/>
      <c r="HC71" s="31"/>
      <c r="HD71" s="31"/>
      <c r="HE71" s="31"/>
      <c r="HF71" s="31"/>
      <c r="HG71" s="31"/>
      <c r="HH71" s="31"/>
      <c r="HI71" s="31"/>
      <c r="HJ71" s="31"/>
      <c r="HK71" s="31"/>
      <c r="HL71" s="31"/>
      <c r="HM71" s="31"/>
      <c r="HN71" s="31"/>
      <c r="HO71" s="31"/>
      <c r="HP71" s="31"/>
      <c r="HQ71" s="31"/>
      <c r="HR71" s="31"/>
      <c r="HS71" s="31"/>
      <c r="HT71" s="31"/>
      <c r="HU71" s="31"/>
      <c r="HV71" s="31"/>
      <c r="HW71" s="31"/>
      <c r="HX71" s="31"/>
      <c r="HY71" s="31"/>
      <c r="HZ71" s="31"/>
      <c r="IA71" s="31"/>
      <c r="IB71" s="31"/>
      <c r="IC71" s="31"/>
      <c r="ID71" s="31"/>
      <c r="IE71" s="31"/>
      <c r="IF71" s="31"/>
      <c r="IG71" s="31"/>
      <c r="IH71" s="31"/>
      <c r="II71" s="31"/>
      <c r="IJ71" s="31"/>
      <c r="IK71" s="31"/>
      <c r="IL71" s="31"/>
      <c r="IM71" s="31"/>
      <c r="IN71" s="31"/>
      <c r="IO71" s="31"/>
      <c r="IP71" s="31"/>
      <c r="IQ71" s="31"/>
      <c r="IR71" s="31"/>
      <c r="IS71" s="31"/>
      <c r="IT71" s="31"/>
      <c r="IU71" s="31"/>
      <c r="IV71" s="31"/>
      <c r="IW71" s="31"/>
      <c r="IX71" s="31"/>
      <c r="IY71" s="31"/>
      <c r="IZ71" s="31"/>
      <c r="JA71" s="31"/>
      <c r="JB71" s="31"/>
      <c r="JC71" s="31"/>
      <c r="JD71" s="31"/>
      <c r="JE71" s="31"/>
      <c r="JF71" s="31"/>
      <c r="JG71" s="31"/>
      <c r="JH71" s="31"/>
      <c r="JI71" s="31"/>
      <c r="JJ71" s="31"/>
      <c r="JK71" s="31"/>
      <c r="JL71" s="31"/>
      <c r="JM71" s="31"/>
      <c r="JN71" s="31"/>
      <c r="JO71" s="31"/>
      <c r="JP71" s="31"/>
      <c r="JQ71" s="31"/>
      <c r="JR71" s="31"/>
      <c r="JS71" s="31"/>
      <c r="JT71" s="31"/>
      <c r="JU71" s="31"/>
      <c r="JV71" s="31"/>
      <c r="JW71" s="31"/>
      <c r="JX71" s="31"/>
      <c r="JY71" s="31"/>
      <c r="JZ71" s="31"/>
      <c r="KA71" s="31"/>
      <c r="KB71" s="31"/>
      <c r="KC71" s="31"/>
      <c r="KD71" s="31"/>
      <c r="KE71" s="31"/>
      <c r="KF71" s="31"/>
      <c r="KG71" s="31"/>
      <c r="KH71" s="31"/>
      <c r="KI71" s="31"/>
      <c r="KJ71" s="31"/>
      <c r="KK71" s="31"/>
      <c r="KL71" s="31"/>
      <c r="KM71" s="31"/>
      <c r="KN71" s="31"/>
      <c r="KO71" s="31"/>
      <c r="KP71" s="31"/>
      <c r="KQ71" s="31"/>
      <c r="KR71" s="31"/>
      <c r="KS71" s="31"/>
      <c r="KT71" s="31"/>
      <c r="KU71" s="31"/>
      <c r="KV71" s="31"/>
      <c r="KW71" s="31"/>
      <c r="KX71" s="31"/>
      <c r="KY71" s="31"/>
      <c r="KZ71" s="31"/>
      <c r="LA71" s="31"/>
      <c r="LB71" s="31"/>
      <c r="LC71" s="31"/>
      <c r="LD71" s="31"/>
      <c r="LE71" s="31"/>
      <c r="LF71" s="31"/>
      <c r="LG71" s="31"/>
      <c r="LH71" s="31"/>
      <c r="LI71" s="31"/>
      <c r="LJ71" s="31"/>
      <c r="LK71" s="31"/>
      <c r="LL71" s="31"/>
      <c r="LM71" s="31"/>
      <c r="LN71" s="31"/>
      <c r="LO71" s="31"/>
      <c r="LP71" s="31"/>
      <c r="LQ71" s="31"/>
      <c r="LR71" s="31"/>
      <c r="LS71" s="31"/>
      <c r="LT71" s="31"/>
      <c r="LU71" s="31"/>
      <c r="LV71" s="31"/>
      <c r="LW71" s="31"/>
      <c r="LX71" s="31"/>
      <c r="LY71" s="31"/>
      <c r="LZ71" s="31"/>
      <c r="MA71" s="31"/>
      <c r="MB71" s="31"/>
      <c r="MC71" s="31"/>
      <c r="MD71" s="31"/>
      <c r="ME71" s="31"/>
      <c r="MF71" s="31"/>
    </row>
    <row r="72" spans="1:344" ht="56.25" customHeight="1">
      <c r="B72" s="120" t="str">
        <f>'OKR '!D127</f>
        <v xml:space="preserve">Estruturar grupo de estudo sobre telessaúde (implementação, operação, inovação... ) </v>
      </c>
      <c r="C72" s="120" t="str">
        <f>'OKR '!E127</f>
        <v>Equipe Microrregional</v>
      </c>
      <c r="D72" s="90"/>
      <c r="E72" s="143">
        <f>'OKR '!G127</f>
        <v>46055</v>
      </c>
      <c r="F72" s="143">
        <f>'OKR '!H127</f>
        <v>46112</v>
      </c>
      <c r="G72" s="14"/>
      <c r="H72" s="14"/>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c r="EG72" s="31"/>
      <c r="EH72" s="31"/>
      <c r="EI72" s="31"/>
      <c r="EJ72" s="31"/>
      <c r="EK72" s="31"/>
      <c r="EL72" s="31"/>
      <c r="EM72" s="31"/>
      <c r="EN72" s="31"/>
      <c r="EO72" s="31"/>
      <c r="EP72" s="31"/>
      <c r="EQ72" s="31"/>
      <c r="ER72" s="31"/>
      <c r="ES72" s="31"/>
      <c r="ET72" s="31"/>
      <c r="EU72" s="31"/>
      <c r="EV72" s="31"/>
      <c r="EW72" s="31"/>
      <c r="EX72" s="31"/>
      <c r="EY72" s="31"/>
      <c r="EZ72" s="31"/>
      <c r="FA72" s="31"/>
      <c r="FB72" s="31"/>
      <c r="FC72" s="31"/>
      <c r="FD72" s="31"/>
      <c r="FE72" s="31"/>
      <c r="FF72" s="31"/>
      <c r="FG72" s="31"/>
      <c r="FH72" s="31"/>
      <c r="FI72" s="31"/>
      <c r="FJ72" s="31"/>
      <c r="FK72" s="31"/>
      <c r="FL72" s="31"/>
      <c r="FM72" s="31"/>
      <c r="FN72" s="31"/>
      <c r="FO72" s="31"/>
      <c r="FP72" s="31"/>
      <c r="FQ72" s="31"/>
      <c r="FR72" s="31"/>
      <c r="FS72" s="31"/>
      <c r="FT72" s="31"/>
      <c r="FU72" s="31"/>
      <c r="FV72" s="31"/>
      <c r="FW72" s="31"/>
      <c r="FX72" s="31"/>
      <c r="FY72" s="31"/>
      <c r="FZ72" s="31"/>
      <c r="GA72" s="31"/>
      <c r="GB72" s="31"/>
      <c r="GC72" s="31"/>
      <c r="GD72" s="31"/>
      <c r="GE72" s="31"/>
      <c r="GF72" s="31"/>
      <c r="GG72" s="31"/>
      <c r="GH72" s="31"/>
      <c r="GI72" s="31"/>
      <c r="GJ72" s="31"/>
      <c r="GK72" s="31"/>
      <c r="GL72" s="31"/>
      <c r="GM72" s="31"/>
      <c r="GN72" s="31"/>
      <c r="GO72" s="31"/>
      <c r="GP72" s="31"/>
      <c r="GQ72" s="31"/>
      <c r="GR72" s="31"/>
      <c r="GS72" s="31"/>
      <c r="GT72" s="31"/>
      <c r="GU72" s="31"/>
      <c r="GV72" s="31"/>
      <c r="GW72" s="31"/>
      <c r="GX72" s="31"/>
      <c r="GY72" s="31"/>
      <c r="GZ72" s="31"/>
      <c r="HA72" s="31"/>
      <c r="HB72" s="31"/>
      <c r="HC72" s="31"/>
      <c r="HD72" s="31"/>
      <c r="HE72" s="31"/>
      <c r="HF72" s="31"/>
      <c r="HG72" s="31"/>
      <c r="HH72" s="31"/>
      <c r="HI72" s="31"/>
      <c r="HJ72" s="31"/>
      <c r="HK72" s="31"/>
      <c r="HL72" s="31"/>
      <c r="HM72" s="31"/>
      <c r="HN72" s="31"/>
      <c r="HO72" s="31"/>
      <c r="HP72" s="31"/>
      <c r="HQ72" s="31"/>
      <c r="HR72" s="31"/>
      <c r="HS72" s="31"/>
      <c r="HT72" s="31"/>
      <c r="HU72" s="31"/>
      <c r="HV72" s="31"/>
      <c r="HW72" s="31"/>
      <c r="HX72" s="31"/>
      <c r="HY72" s="31"/>
      <c r="HZ72" s="31"/>
      <c r="IA72" s="31"/>
      <c r="IB72" s="31"/>
      <c r="IC72" s="31"/>
      <c r="ID72" s="31"/>
      <c r="IE72" s="31"/>
      <c r="IF72" s="31"/>
      <c r="IG72" s="31"/>
      <c r="IH72" s="31"/>
      <c r="II72" s="31"/>
      <c r="IJ72" s="31"/>
      <c r="IK72" s="31"/>
      <c r="IL72" s="31"/>
      <c r="IM72" s="31"/>
      <c r="IN72" s="31"/>
      <c r="IO72" s="31"/>
      <c r="IP72" s="31"/>
      <c r="IQ72" s="31"/>
      <c r="IR72" s="31"/>
      <c r="IS72" s="31"/>
      <c r="IT72" s="31"/>
      <c r="IU72" s="31"/>
      <c r="IV72" s="31"/>
      <c r="IW72" s="31"/>
      <c r="IX72" s="31"/>
      <c r="IY72" s="31"/>
      <c r="IZ72" s="31"/>
      <c r="JA72" s="31"/>
      <c r="JB72" s="31"/>
      <c r="JC72" s="31"/>
      <c r="JD72" s="31"/>
      <c r="JE72" s="31"/>
      <c r="JF72" s="31"/>
      <c r="JG72" s="31"/>
      <c r="JH72" s="31"/>
      <c r="JI72" s="31"/>
      <c r="JJ72" s="31"/>
      <c r="JK72" s="31"/>
      <c r="JL72" s="31"/>
      <c r="JM72" s="31"/>
      <c r="JN72" s="31"/>
      <c r="JO72" s="31"/>
      <c r="JP72" s="31"/>
      <c r="JQ72" s="31"/>
      <c r="JR72" s="31"/>
      <c r="JS72" s="31"/>
      <c r="JT72" s="31"/>
      <c r="JU72" s="31"/>
      <c r="JV72" s="31"/>
      <c r="JW72" s="31"/>
      <c r="JX72" s="31"/>
      <c r="JY72" s="31"/>
      <c r="JZ72" s="31"/>
      <c r="KA72" s="31"/>
      <c r="KB72" s="31"/>
      <c r="KC72" s="31"/>
      <c r="KD72" s="31"/>
      <c r="KE72" s="31"/>
      <c r="KF72" s="31"/>
      <c r="KG72" s="31"/>
      <c r="KH72" s="31"/>
      <c r="KI72" s="31"/>
      <c r="KJ72" s="31"/>
      <c r="KK72" s="31"/>
      <c r="KL72" s="31"/>
      <c r="KM72" s="31"/>
      <c r="KN72" s="31"/>
      <c r="KO72" s="31"/>
      <c r="KP72" s="31"/>
      <c r="KQ72" s="31"/>
      <c r="KR72" s="31"/>
      <c r="KS72" s="31"/>
      <c r="KT72" s="31"/>
      <c r="KU72" s="31"/>
      <c r="KV72" s="31"/>
      <c r="KW72" s="31"/>
      <c r="KX72" s="31"/>
      <c r="KY72" s="31"/>
      <c r="KZ72" s="31"/>
      <c r="LA72" s="31"/>
      <c r="LB72" s="31"/>
      <c r="LC72" s="31"/>
      <c r="LD72" s="31"/>
      <c r="LE72" s="31"/>
      <c r="LF72" s="31"/>
      <c r="LG72" s="31"/>
      <c r="LH72" s="31"/>
      <c r="LI72" s="31"/>
      <c r="LJ72" s="31"/>
      <c r="LK72" s="31"/>
      <c r="LL72" s="31"/>
      <c r="LM72" s="31"/>
      <c r="LN72" s="31"/>
      <c r="LO72" s="31"/>
      <c r="LP72" s="31"/>
      <c r="LQ72" s="31"/>
      <c r="LR72" s="31"/>
      <c r="LS72" s="31"/>
      <c r="LT72" s="31"/>
      <c r="LU72" s="31"/>
      <c r="LV72" s="31"/>
      <c r="LW72" s="31"/>
      <c r="LX72" s="31"/>
      <c r="LY72" s="31"/>
      <c r="LZ72" s="31"/>
      <c r="MA72" s="31"/>
      <c r="MB72" s="31"/>
      <c r="MC72" s="31"/>
      <c r="MD72" s="31"/>
      <c r="ME72" s="31"/>
      <c r="MF72" s="31"/>
    </row>
    <row r="73" spans="1:344" ht="56.25" customHeight="1">
      <c r="B73" s="120" t="str">
        <f>'OKR '!D128</f>
        <v>Elaborar campanha de sensibilização</v>
      </c>
      <c r="C73" s="120" t="str">
        <f>'OKR '!E128</f>
        <v>Equipe Microrregional, SES (Equipe da Telessaúde + NSDIGI), Núcleos de telessaúde</v>
      </c>
      <c r="D73" s="90"/>
      <c r="E73" s="143">
        <f>'OKR '!G128</f>
        <v>46082</v>
      </c>
      <c r="F73" s="143">
        <f>'OKR '!H128</f>
        <v>46142</v>
      </c>
      <c r="G73" s="14"/>
      <c r="H73" s="14"/>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c r="EG73" s="31"/>
      <c r="EH73" s="31"/>
      <c r="EI73" s="31"/>
      <c r="EJ73" s="31"/>
      <c r="EK73" s="31"/>
      <c r="EL73" s="31"/>
      <c r="EM73" s="31"/>
      <c r="EN73" s="31"/>
      <c r="EO73" s="31"/>
      <c r="EP73" s="31"/>
      <c r="EQ73" s="31"/>
      <c r="ER73" s="31"/>
      <c r="ES73" s="31"/>
      <c r="ET73" s="31"/>
      <c r="EU73" s="31"/>
      <c r="EV73" s="31"/>
      <c r="EW73" s="31"/>
      <c r="EX73" s="31"/>
      <c r="EY73" s="31"/>
      <c r="EZ73" s="31"/>
      <c r="FA73" s="31"/>
      <c r="FB73" s="31"/>
      <c r="FC73" s="31"/>
      <c r="FD73" s="31"/>
      <c r="FE73" s="31"/>
      <c r="FF73" s="31"/>
      <c r="FG73" s="31"/>
      <c r="FH73" s="31"/>
      <c r="FI73" s="31"/>
      <c r="FJ73" s="31"/>
      <c r="FK73" s="31"/>
      <c r="FL73" s="31"/>
      <c r="FM73" s="31"/>
      <c r="FN73" s="31"/>
      <c r="FO73" s="31"/>
      <c r="FP73" s="31"/>
      <c r="FQ73" s="31"/>
      <c r="FR73" s="31"/>
      <c r="FS73" s="31"/>
      <c r="FT73" s="31"/>
      <c r="FU73" s="31"/>
      <c r="FV73" s="31"/>
      <c r="FW73" s="31"/>
      <c r="FX73" s="31"/>
      <c r="FY73" s="31"/>
      <c r="FZ73" s="31"/>
      <c r="GA73" s="31"/>
      <c r="GB73" s="31"/>
      <c r="GC73" s="31"/>
      <c r="GD73" s="31"/>
      <c r="GE73" s="31"/>
      <c r="GF73" s="31"/>
      <c r="GG73" s="31"/>
      <c r="GH73" s="31"/>
      <c r="GI73" s="31"/>
      <c r="GJ73" s="31"/>
      <c r="GK73" s="31"/>
      <c r="GL73" s="31"/>
      <c r="GM73" s="31"/>
      <c r="GN73" s="31"/>
      <c r="GO73" s="31"/>
      <c r="GP73" s="31"/>
      <c r="GQ73" s="31"/>
      <c r="GR73" s="31"/>
      <c r="GS73" s="31"/>
      <c r="GT73" s="31"/>
      <c r="GU73" s="31"/>
      <c r="GV73" s="31"/>
      <c r="GW73" s="31"/>
      <c r="GX73" s="31"/>
      <c r="GY73" s="31"/>
      <c r="GZ73" s="31"/>
      <c r="HA73" s="31"/>
      <c r="HB73" s="31"/>
      <c r="HC73" s="31"/>
      <c r="HD73" s="31"/>
      <c r="HE73" s="31"/>
      <c r="HF73" s="31"/>
      <c r="HG73" s="31"/>
      <c r="HH73" s="31"/>
      <c r="HI73" s="31"/>
      <c r="HJ73" s="31"/>
      <c r="HK73" s="31"/>
      <c r="HL73" s="31"/>
      <c r="HM73" s="31"/>
      <c r="HN73" s="31"/>
      <c r="HO73" s="31"/>
      <c r="HP73" s="31"/>
      <c r="HQ73" s="31"/>
      <c r="HR73" s="31"/>
      <c r="HS73" s="31"/>
      <c r="HT73" s="31"/>
      <c r="HU73" s="31"/>
      <c r="HV73" s="31"/>
      <c r="HW73" s="31"/>
      <c r="HX73" s="31"/>
      <c r="HY73" s="31"/>
      <c r="HZ73" s="31"/>
      <c r="IA73" s="31"/>
      <c r="IB73" s="31"/>
      <c r="IC73" s="31"/>
      <c r="ID73" s="31"/>
      <c r="IE73" s="31"/>
      <c r="IF73" s="31"/>
      <c r="IG73" s="31"/>
      <c r="IH73" s="31"/>
      <c r="II73" s="31"/>
      <c r="IJ73" s="31"/>
      <c r="IK73" s="31"/>
      <c r="IL73" s="31"/>
      <c r="IM73" s="31"/>
      <c r="IN73" s="31"/>
      <c r="IO73" s="31"/>
      <c r="IP73" s="31"/>
      <c r="IQ73" s="31"/>
      <c r="IR73" s="31"/>
      <c r="IS73" s="31"/>
      <c r="IT73" s="31"/>
      <c r="IU73" s="31"/>
      <c r="IV73" s="31"/>
      <c r="IW73" s="31"/>
      <c r="IX73" s="31"/>
      <c r="IY73" s="31"/>
      <c r="IZ73" s="31"/>
      <c r="JA73" s="31"/>
      <c r="JB73" s="31"/>
      <c r="JC73" s="31"/>
      <c r="JD73" s="31"/>
      <c r="JE73" s="31"/>
      <c r="JF73" s="31"/>
      <c r="JG73" s="31"/>
      <c r="JH73" s="31"/>
      <c r="JI73" s="31"/>
      <c r="JJ73" s="31"/>
      <c r="JK73" s="31"/>
      <c r="JL73" s="31"/>
      <c r="JM73" s="31"/>
      <c r="JN73" s="31"/>
      <c r="JO73" s="31"/>
      <c r="JP73" s="31"/>
      <c r="JQ73" s="31"/>
      <c r="JR73" s="31"/>
      <c r="JS73" s="31"/>
      <c r="JT73" s="31"/>
      <c r="JU73" s="31"/>
      <c r="JV73" s="31"/>
      <c r="JW73" s="31"/>
      <c r="JX73" s="31"/>
      <c r="JY73" s="31"/>
      <c r="JZ73" s="31"/>
      <c r="KA73" s="31"/>
      <c r="KB73" s="31"/>
      <c r="KC73" s="31"/>
      <c r="KD73" s="31"/>
      <c r="KE73" s="31"/>
      <c r="KF73" s="31"/>
      <c r="KG73" s="31"/>
      <c r="KH73" s="31"/>
      <c r="KI73" s="31"/>
      <c r="KJ73" s="31"/>
      <c r="KK73" s="31"/>
      <c r="KL73" s="31"/>
      <c r="KM73" s="31"/>
      <c r="KN73" s="31"/>
      <c r="KO73" s="31"/>
      <c r="KP73" s="31"/>
      <c r="KQ73" s="31"/>
      <c r="KR73" s="31"/>
      <c r="KS73" s="31"/>
      <c r="KT73" s="31"/>
      <c r="KU73" s="31"/>
      <c r="KV73" s="31"/>
      <c r="KW73" s="31"/>
      <c r="KX73" s="31"/>
      <c r="KY73" s="31"/>
      <c r="KZ73" s="31"/>
      <c r="LA73" s="31"/>
      <c r="LB73" s="31"/>
      <c r="LC73" s="31"/>
      <c r="LD73" s="31"/>
      <c r="LE73" s="31"/>
      <c r="LF73" s="31"/>
      <c r="LG73" s="31"/>
      <c r="LH73" s="31"/>
      <c r="LI73" s="31"/>
      <c r="LJ73" s="31"/>
      <c r="LK73" s="31"/>
      <c r="LL73" s="31"/>
      <c r="LM73" s="31"/>
      <c r="LN73" s="31"/>
      <c r="LO73" s="31"/>
      <c r="LP73" s="31"/>
      <c r="LQ73" s="31"/>
      <c r="LR73" s="31"/>
      <c r="LS73" s="31"/>
      <c r="LT73" s="31"/>
      <c r="LU73" s="31"/>
      <c r="LV73" s="31"/>
      <c r="LW73" s="31"/>
      <c r="LX73" s="31"/>
      <c r="LY73" s="31"/>
      <c r="LZ73" s="31"/>
      <c r="MA73" s="31"/>
      <c r="MB73" s="31"/>
      <c r="MC73" s="31"/>
      <c r="MD73" s="31"/>
      <c r="ME73" s="31"/>
      <c r="MF73" s="31"/>
    </row>
    <row r="74" spans="1:344" ht="56.25" customHeight="1">
      <c r="B74" s="120" t="str">
        <f>'OKR '!D129</f>
        <v>Definir percentual mínimo de membros das equipes habilitados</v>
      </c>
      <c r="C74" s="120" t="str">
        <f>'OKR '!E129</f>
        <v>Equipe Microrregional</v>
      </c>
      <c r="D74" s="90"/>
      <c r="E74" s="143">
        <f>'OKR '!G129</f>
        <v>46082</v>
      </c>
      <c r="F74" s="143">
        <f>'OKR '!H129</f>
        <v>46142</v>
      </c>
      <c r="G74" s="14"/>
      <c r="H74" s="14"/>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c r="EG74" s="31"/>
      <c r="EH74" s="31"/>
      <c r="EI74" s="31"/>
      <c r="EJ74" s="31"/>
      <c r="EK74" s="31"/>
      <c r="EL74" s="31"/>
      <c r="EM74" s="31"/>
      <c r="EN74" s="31"/>
      <c r="EO74" s="31"/>
      <c r="EP74" s="31"/>
      <c r="EQ74" s="31"/>
      <c r="ER74" s="31"/>
      <c r="ES74" s="31"/>
      <c r="ET74" s="31"/>
      <c r="EU74" s="31"/>
      <c r="EV74" s="31"/>
      <c r="EW74" s="31"/>
      <c r="EX74" s="31"/>
      <c r="EY74" s="31"/>
      <c r="EZ74" s="31"/>
      <c r="FA74" s="31"/>
      <c r="FB74" s="31"/>
      <c r="FC74" s="31"/>
      <c r="FD74" s="31"/>
      <c r="FE74" s="31"/>
      <c r="FF74" s="31"/>
      <c r="FG74" s="31"/>
      <c r="FH74" s="31"/>
      <c r="FI74" s="31"/>
      <c r="FJ74" s="31"/>
      <c r="FK74" s="31"/>
      <c r="FL74" s="31"/>
      <c r="FM74" s="31"/>
      <c r="FN74" s="31"/>
      <c r="FO74" s="31"/>
      <c r="FP74" s="31"/>
      <c r="FQ74" s="31"/>
      <c r="FR74" s="31"/>
      <c r="FS74" s="31"/>
      <c r="FT74" s="31"/>
      <c r="FU74" s="31"/>
      <c r="FV74" s="31"/>
      <c r="FW74" s="31"/>
      <c r="FX74" s="31"/>
      <c r="FY74" s="31"/>
      <c r="FZ74" s="31"/>
      <c r="GA74" s="31"/>
      <c r="GB74" s="31"/>
      <c r="GC74" s="31"/>
      <c r="GD74" s="31"/>
      <c r="GE74" s="31"/>
      <c r="GF74" s="31"/>
      <c r="GG74" s="31"/>
      <c r="GH74" s="31"/>
      <c r="GI74" s="31"/>
      <c r="GJ74" s="31"/>
      <c r="GK74" s="31"/>
      <c r="GL74" s="31"/>
      <c r="GM74" s="31"/>
      <c r="GN74" s="31"/>
      <c r="GO74" s="31"/>
      <c r="GP74" s="31"/>
      <c r="GQ74" s="31"/>
      <c r="GR74" s="31"/>
      <c r="GS74" s="31"/>
      <c r="GT74" s="31"/>
      <c r="GU74" s="31"/>
      <c r="GV74" s="31"/>
      <c r="GW74" s="31"/>
      <c r="GX74" s="31"/>
      <c r="GY74" s="31"/>
      <c r="GZ74" s="31"/>
      <c r="HA74" s="31"/>
      <c r="HB74" s="31"/>
      <c r="HC74" s="31"/>
      <c r="HD74" s="31"/>
      <c r="HE74" s="31"/>
      <c r="HF74" s="31"/>
      <c r="HG74" s="31"/>
      <c r="HH74" s="31"/>
      <c r="HI74" s="31"/>
      <c r="HJ74" s="31"/>
      <c r="HK74" s="31"/>
      <c r="HL74" s="31"/>
      <c r="HM74" s="31"/>
      <c r="HN74" s="31"/>
      <c r="HO74" s="31"/>
      <c r="HP74" s="31"/>
      <c r="HQ74" s="31"/>
      <c r="HR74" s="31"/>
      <c r="HS74" s="31"/>
      <c r="HT74" s="31"/>
      <c r="HU74" s="31"/>
      <c r="HV74" s="31"/>
      <c r="HW74" s="31"/>
      <c r="HX74" s="31"/>
      <c r="HY74" s="31"/>
      <c r="HZ74" s="31"/>
      <c r="IA74" s="31"/>
      <c r="IB74" s="31"/>
      <c r="IC74" s="31"/>
      <c r="ID74" s="31"/>
      <c r="IE74" s="31"/>
      <c r="IF74" s="31"/>
      <c r="IG74" s="31"/>
      <c r="IH74" s="31"/>
      <c r="II74" s="31"/>
      <c r="IJ74" s="31"/>
      <c r="IK74" s="31"/>
      <c r="IL74" s="31"/>
      <c r="IM74" s="31"/>
      <c r="IN74" s="31"/>
      <c r="IO74" s="31"/>
      <c r="IP74" s="31"/>
      <c r="IQ74" s="31"/>
      <c r="IR74" s="31"/>
      <c r="IS74" s="31"/>
      <c r="IT74" s="31"/>
      <c r="IU74" s="31"/>
      <c r="IV74" s="31"/>
      <c r="IW74" s="31"/>
      <c r="IX74" s="31"/>
      <c r="IY74" s="31"/>
      <c r="IZ74" s="31"/>
      <c r="JA74" s="31"/>
      <c r="JB74" s="31"/>
      <c r="JC74" s="31"/>
      <c r="JD74" s="31"/>
      <c r="JE74" s="31"/>
      <c r="JF74" s="31"/>
      <c r="JG74" s="31"/>
      <c r="JH74" s="31"/>
      <c r="JI74" s="31"/>
      <c r="JJ74" s="31"/>
      <c r="JK74" s="31"/>
      <c r="JL74" s="31"/>
      <c r="JM74" s="31"/>
      <c r="JN74" s="31"/>
      <c r="JO74" s="31"/>
      <c r="JP74" s="31"/>
      <c r="JQ74" s="31"/>
      <c r="JR74" s="31"/>
      <c r="JS74" s="31"/>
      <c r="JT74" s="31"/>
      <c r="JU74" s="31"/>
      <c r="JV74" s="31"/>
      <c r="JW74" s="31"/>
      <c r="JX74" s="31"/>
      <c r="JY74" s="31"/>
      <c r="JZ74" s="31"/>
      <c r="KA74" s="31"/>
      <c r="KB74" s="31"/>
      <c r="KC74" s="31"/>
      <c r="KD74" s="31"/>
      <c r="KE74" s="31"/>
      <c r="KF74" s="31"/>
      <c r="KG74" s="31"/>
      <c r="KH74" s="31"/>
      <c r="KI74" s="31"/>
      <c r="KJ74" s="31"/>
      <c r="KK74" s="31"/>
      <c r="KL74" s="31"/>
      <c r="KM74" s="31"/>
      <c r="KN74" s="31"/>
      <c r="KO74" s="31"/>
      <c r="KP74" s="31"/>
      <c r="KQ74" s="31"/>
      <c r="KR74" s="31"/>
      <c r="KS74" s="31"/>
      <c r="KT74" s="31"/>
      <c r="KU74" s="31"/>
      <c r="KV74" s="31"/>
      <c r="KW74" s="31"/>
      <c r="KX74" s="31"/>
      <c r="KY74" s="31"/>
      <c r="KZ74" s="31"/>
      <c r="LA74" s="31"/>
      <c r="LB74" s="31"/>
      <c r="LC74" s="31"/>
      <c r="LD74" s="31"/>
      <c r="LE74" s="31"/>
      <c r="LF74" s="31"/>
      <c r="LG74" s="31"/>
      <c r="LH74" s="31"/>
      <c r="LI74" s="31"/>
      <c r="LJ74" s="31"/>
      <c r="LK74" s="31"/>
      <c r="LL74" s="31"/>
      <c r="LM74" s="31"/>
      <c r="LN74" s="31"/>
      <c r="LO74" s="31"/>
      <c r="LP74" s="31"/>
      <c r="LQ74" s="31"/>
      <c r="LR74" s="31"/>
      <c r="LS74" s="31"/>
      <c r="LT74" s="31"/>
      <c r="LU74" s="31"/>
      <c r="LV74" s="31"/>
      <c r="LW74" s="31"/>
      <c r="LX74" s="31"/>
      <c r="LY74" s="31"/>
      <c r="LZ74" s="31"/>
      <c r="MA74" s="31"/>
      <c r="MB74" s="31"/>
      <c r="MC74" s="31"/>
      <c r="MD74" s="31"/>
      <c r="ME74" s="31"/>
      <c r="MF74" s="31"/>
    </row>
    <row r="75" spans="1:344" ht="56.25" customHeight="1">
      <c r="B75" s="120" t="str">
        <f>'OKR '!D130</f>
        <v>Preparar material de formação</v>
      </c>
      <c r="C75" s="120" t="str">
        <f>'OKR '!E130</f>
        <v>Equipe Microrregional, SES (Equipe da Telessaúde + NSDIGI), Núcleos de telessaúde</v>
      </c>
      <c r="D75" s="90"/>
      <c r="E75" s="143">
        <f>'OKR '!G130</f>
        <v>46113</v>
      </c>
      <c r="F75" s="143">
        <f>'OKR '!H130</f>
        <v>46234</v>
      </c>
      <c r="G75" s="14"/>
      <c r="H75" s="14"/>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c r="EG75" s="31"/>
      <c r="EH75" s="31"/>
      <c r="EI75" s="31"/>
      <c r="EJ75" s="31"/>
      <c r="EK75" s="31"/>
      <c r="EL75" s="31"/>
      <c r="EM75" s="31"/>
      <c r="EN75" s="31"/>
      <c r="EO75" s="31"/>
      <c r="EP75" s="31"/>
      <c r="EQ75" s="31"/>
      <c r="ER75" s="31"/>
      <c r="ES75" s="31"/>
      <c r="ET75" s="31"/>
      <c r="EU75" s="31"/>
      <c r="EV75" s="31"/>
      <c r="EW75" s="31"/>
      <c r="EX75" s="31"/>
      <c r="EY75" s="31"/>
      <c r="EZ75" s="31"/>
      <c r="FA75" s="31"/>
      <c r="FB75" s="31"/>
      <c r="FC75" s="31"/>
      <c r="FD75" s="31"/>
      <c r="FE75" s="31"/>
      <c r="FF75" s="31"/>
      <c r="FG75" s="31"/>
      <c r="FH75" s="31"/>
      <c r="FI75" s="31"/>
      <c r="FJ75" s="31"/>
      <c r="FK75" s="31"/>
      <c r="FL75" s="31"/>
      <c r="FM75" s="31"/>
      <c r="FN75" s="31"/>
      <c r="FO75" s="31"/>
      <c r="FP75" s="31"/>
      <c r="FQ75" s="31"/>
      <c r="FR75" s="31"/>
      <c r="FS75" s="31"/>
      <c r="FT75" s="31"/>
      <c r="FU75" s="31"/>
      <c r="FV75" s="31"/>
      <c r="FW75" s="31"/>
      <c r="FX75" s="31"/>
      <c r="FY75" s="31"/>
      <c r="FZ75" s="31"/>
      <c r="GA75" s="31"/>
      <c r="GB75" s="31"/>
      <c r="GC75" s="31"/>
      <c r="GD75" s="31"/>
      <c r="GE75" s="31"/>
      <c r="GF75" s="31"/>
      <c r="GG75" s="31"/>
      <c r="GH75" s="31"/>
      <c r="GI75" s="31"/>
      <c r="GJ75" s="31"/>
      <c r="GK75" s="31"/>
      <c r="GL75" s="31"/>
      <c r="GM75" s="31"/>
      <c r="GN75" s="31"/>
      <c r="GO75" s="31"/>
      <c r="GP75" s="31"/>
      <c r="GQ75" s="31"/>
      <c r="GR75" s="31"/>
      <c r="GS75" s="31"/>
      <c r="GT75" s="31"/>
      <c r="GU75" s="31"/>
      <c r="GV75" s="31"/>
      <c r="GW75" s="31"/>
      <c r="GX75" s="31"/>
      <c r="GY75" s="31"/>
      <c r="GZ75" s="31"/>
      <c r="HA75" s="31"/>
      <c r="HB75" s="31"/>
      <c r="HC75" s="31"/>
      <c r="HD75" s="31"/>
      <c r="HE75" s="31"/>
      <c r="HF75" s="31"/>
      <c r="HG75" s="31"/>
      <c r="HH75" s="31"/>
      <c r="HI75" s="31"/>
      <c r="HJ75" s="31"/>
      <c r="HK75" s="31"/>
      <c r="HL75" s="31"/>
      <c r="HM75" s="31"/>
      <c r="HN75" s="31"/>
      <c r="HO75" s="31"/>
      <c r="HP75" s="31"/>
      <c r="HQ75" s="31"/>
      <c r="HR75" s="31"/>
      <c r="HS75" s="31"/>
      <c r="HT75" s="31"/>
      <c r="HU75" s="31"/>
      <c r="HV75" s="31"/>
      <c r="HW75" s="31"/>
      <c r="HX75" s="31"/>
      <c r="HY75" s="31"/>
      <c r="HZ75" s="31"/>
      <c r="IA75" s="31"/>
      <c r="IB75" s="31"/>
      <c r="IC75" s="31"/>
      <c r="ID75" s="31"/>
      <c r="IE75" s="31"/>
      <c r="IF75" s="31"/>
      <c r="IG75" s="31"/>
      <c r="IH75" s="31"/>
      <c r="II75" s="31"/>
      <c r="IJ75" s="31"/>
      <c r="IK75" s="31"/>
      <c r="IL75" s="31"/>
      <c r="IM75" s="31"/>
      <c r="IN75" s="31"/>
      <c r="IO75" s="31"/>
      <c r="IP75" s="31"/>
      <c r="IQ75" s="31"/>
      <c r="IR75" s="31"/>
      <c r="IS75" s="31"/>
      <c r="IT75" s="31"/>
      <c r="IU75" s="31"/>
      <c r="IV75" s="31"/>
      <c r="IW75" s="31"/>
      <c r="IX75" s="31"/>
      <c r="IY75" s="31"/>
      <c r="IZ75" s="31"/>
      <c r="JA75" s="31"/>
      <c r="JB75" s="31"/>
      <c r="JC75" s="31"/>
      <c r="JD75" s="31"/>
      <c r="JE75" s="31"/>
      <c r="JF75" s="31"/>
      <c r="JG75" s="31"/>
      <c r="JH75" s="31"/>
      <c r="JI75" s="31"/>
      <c r="JJ75" s="31"/>
      <c r="JK75" s="31"/>
      <c r="JL75" s="31"/>
      <c r="JM75" s="31"/>
      <c r="JN75" s="31"/>
      <c r="JO75" s="31"/>
      <c r="JP75" s="31"/>
      <c r="JQ75" s="31"/>
      <c r="JR75" s="31"/>
      <c r="JS75" s="31"/>
      <c r="JT75" s="31"/>
      <c r="JU75" s="31"/>
      <c r="JV75" s="31"/>
      <c r="JW75" s="31"/>
      <c r="JX75" s="31"/>
      <c r="JY75" s="31"/>
      <c r="JZ75" s="31"/>
      <c r="KA75" s="31"/>
      <c r="KB75" s="31"/>
      <c r="KC75" s="31"/>
      <c r="KD75" s="31"/>
      <c r="KE75" s="31"/>
      <c r="KF75" s="31"/>
      <c r="KG75" s="31"/>
      <c r="KH75" s="31"/>
      <c r="KI75" s="31"/>
      <c r="KJ75" s="31"/>
      <c r="KK75" s="31"/>
      <c r="KL75" s="31"/>
      <c r="KM75" s="31"/>
      <c r="KN75" s="31"/>
      <c r="KO75" s="31"/>
      <c r="KP75" s="31"/>
      <c r="KQ75" s="31"/>
      <c r="KR75" s="31"/>
      <c r="KS75" s="31"/>
      <c r="KT75" s="31"/>
      <c r="KU75" s="31"/>
      <c r="KV75" s="31"/>
      <c r="KW75" s="31"/>
      <c r="KX75" s="31"/>
      <c r="KY75" s="31"/>
      <c r="KZ75" s="31"/>
      <c r="LA75" s="31"/>
      <c r="LB75" s="31"/>
      <c r="LC75" s="31"/>
      <c r="LD75" s="31"/>
      <c r="LE75" s="31"/>
      <c r="LF75" s="31"/>
      <c r="LG75" s="31"/>
      <c r="LH75" s="31"/>
      <c r="LI75" s="31"/>
      <c r="LJ75" s="31"/>
      <c r="LK75" s="31"/>
      <c r="LL75" s="31"/>
      <c r="LM75" s="31"/>
      <c r="LN75" s="31"/>
      <c r="LO75" s="31"/>
      <c r="LP75" s="31"/>
      <c r="LQ75" s="31"/>
      <c r="LR75" s="31"/>
      <c r="LS75" s="31"/>
      <c r="LT75" s="31"/>
      <c r="LU75" s="31"/>
      <c r="LV75" s="31"/>
      <c r="LW75" s="31"/>
      <c r="LX75" s="31"/>
      <c r="LY75" s="31"/>
      <c r="LZ75" s="31"/>
      <c r="MA75" s="31"/>
      <c r="MB75" s="31"/>
      <c r="MC75" s="31"/>
      <c r="MD75" s="31"/>
      <c r="ME75" s="31"/>
      <c r="MF75" s="31"/>
    </row>
    <row r="76" spans="1:344" ht="56.25" customHeight="1">
      <c r="B76" s="120" t="str">
        <f>'OKR '!D131</f>
        <v>Criar formação básica em telessaúde</v>
      </c>
      <c r="C76" s="120" t="str">
        <f>'OKR '!E131</f>
        <v>Equipe Microrregional, SES (Equipe da Telessaúde + NSDIGI), Núcleos de telessaúde</v>
      </c>
      <c r="D76" s="90"/>
      <c r="E76" s="143">
        <f>'OKR '!G131</f>
        <v>46113</v>
      </c>
      <c r="F76" s="143">
        <f>'OKR '!H131</f>
        <v>46234</v>
      </c>
      <c r="G76" s="14"/>
      <c r="H76" s="14"/>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c r="EG76" s="31"/>
      <c r="EH76" s="31"/>
      <c r="EI76" s="31"/>
      <c r="EJ76" s="31"/>
      <c r="EK76" s="31"/>
      <c r="EL76" s="31"/>
      <c r="EM76" s="31"/>
      <c r="EN76" s="31"/>
      <c r="EO76" s="31"/>
      <c r="EP76" s="31"/>
      <c r="EQ76" s="31"/>
      <c r="ER76" s="31"/>
      <c r="ES76" s="31"/>
      <c r="ET76" s="31"/>
      <c r="EU76" s="31"/>
      <c r="EV76" s="31"/>
      <c r="EW76" s="31"/>
      <c r="EX76" s="31"/>
      <c r="EY76" s="31"/>
      <c r="EZ76" s="31"/>
      <c r="FA76" s="31"/>
      <c r="FB76" s="31"/>
      <c r="FC76" s="31"/>
      <c r="FD76" s="31"/>
      <c r="FE76" s="31"/>
      <c r="FF76" s="31"/>
      <c r="FG76" s="31"/>
      <c r="FH76" s="31"/>
      <c r="FI76" s="31"/>
      <c r="FJ76" s="31"/>
      <c r="FK76" s="31"/>
      <c r="FL76" s="31"/>
      <c r="FM76" s="31"/>
      <c r="FN76" s="31"/>
      <c r="FO76" s="31"/>
      <c r="FP76" s="31"/>
      <c r="FQ76" s="31"/>
      <c r="FR76" s="31"/>
      <c r="FS76" s="31"/>
      <c r="FT76" s="31"/>
      <c r="FU76" s="31"/>
      <c r="FV76" s="31"/>
      <c r="FW76" s="31"/>
      <c r="FX76" s="31"/>
      <c r="FY76" s="31"/>
      <c r="FZ76" s="31"/>
      <c r="GA76" s="31"/>
      <c r="GB76" s="31"/>
      <c r="GC76" s="31"/>
      <c r="GD76" s="31"/>
      <c r="GE76" s="31"/>
      <c r="GF76" s="31"/>
      <c r="GG76" s="31"/>
      <c r="GH76" s="31"/>
      <c r="GI76" s="31"/>
      <c r="GJ76" s="31"/>
      <c r="GK76" s="31"/>
      <c r="GL76" s="31"/>
      <c r="GM76" s="31"/>
      <c r="GN76" s="31"/>
      <c r="GO76" s="31"/>
      <c r="GP76" s="31"/>
      <c r="GQ76" s="31"/>
      <c r="GR76" s="31"/>
      <c r="GS76" s="31"/>
      <c r="GT76" s="31"/>
      <c r="GU76" s="31"/>
      <c r="GV76" s="31"/>
      <c r="GW76" s="31"/>
      <c r="GX76" s="31"/>
      <c r="GY76" s="31"/>
      <c r="GZ76" s="31"/>
      <c r="HA76" s="31"/>
      <c r="HB76" s="31"/>
      <c r="HC76" s="31"/>
      <c r="HD76" s="31"/>
      <c r="HE76" s="31"/>
      <c r="HF76" s="31"/>
      <c r="HG76" s="31"/>
      <c r="HH76" s="31"/>
      <c r="HI76" s="31"/>
      <c r="HJ76" s="31"/>
      <c r="HK76" s="31"/>
      <c r="HL76" s="31"/>
      <c r="HM76" s="31"/>
      <c r="HN76" s="31"/>
      <c r="HO76" s="31"/>
      <c r="HP76" s="31"/>
      <c r="HQ76" s="31"/>
      <c r="HR76" s="31"/>
      <c r="HS76" s="31"/>
      <c r="HT76" s="31"/>
      <c r="HU76" s="31"/>
      <c r="HV76" s="31"/>
      <c r="HW76" s="31"/>
      <c r="HX76" s="31"/>
      <c r="HY76" s="31"/>
      <c r="HZ76" s="31"/>
      <c r="IA76" s="31"/>
      <c r="IB76" s="31"/>
      <c r="IC76" s="31"/>
      <c r="ID76" s="31"/>
      <c r="IE76" s="31"/>
      <c r="IF76" s="31"/>
      <c r="IG76" s="31"/>
      <c r="IH76" s="31"/>
      <c r="II76" s="31"/>
      <c r="IJ76" s="31"/>
      <c r="IK76" s="31"/>
      <c r="IL76" s="31"/>
      <c r="IM76" s="31"/>
      <c r="IN76" s="31"/>
      <c r="IO76" s="31"/>
      <c r="IP76" s="31"/>
      <c r="IQ76" s="31"/>
      <c r="IR76" s="31"/>
      <c r="IS76" s="31"/>
      <c r="IT76" s="31"/>
      <c r="IU76" s="31"/>
      <c r="IV76" s="31"/>
      <c r="IW76" s="31"/>
      <c r="IX76" s="31"/>
      <c r="IY76" s="31"/>
      <c r="IZ76" s="31"/>
      <c r="JA76" s="31"/>
      <c r="JB76" s="31"/>
      <c r="JC76" s="31"/>
      <c r="JD76" s="31"/>
      <c r="JE76" s="31"/>
      <c r="JF76" s="31"/>
      <c r="JG76" s="31"/>
      <c r="JH76" s="31"/>
      <c r="JI76" s="31"/>
      <c r="JJ76" s="31"/>
      <c r="JK76" s="31"/>
      <c r="JL76" s="31"/>
      <c r="JM76" s="31"/>
      <c r="JN76" s="31"/>
      <c r="JO76" s="31"/>
      <c r="JP76" s="31"/>
      <c r="JQ76" s="31"/>
      <c r="JR76" s="31"/>
      <c r="JS76" s="31"/>
      <c r="JT76" s="31"/>
      <c r="JU76" s="31"/>
      <c r="JV76" s="31"/>
      <c r="JW76" s="31"/>
      <c r="JX76" s="31"/>
      <c r="JY76" s="31"/>
      <c r="JZ76" s="31"/>
      <c r="KA76" s="31"/>
      <c r="KB76" s="31"/>
      <c r="KC76" s="31"/>
      <c r="KD76" s="31"/>
      <c r="KE76" s="31"/>
      <c r="KF76" s="31"/>
      <c r="KG76" s="31"/>
      <c r="KH76" s="31"/>
      <c r="KI76" s="31"/>
      <c r="KJ76" s="31"/>
      <c r="KK76" s="31"/>
      <c r="KL76" s="31"/>
      <c r="KM76" s="31"/>
      <c r="KN76" s="31"/>
      <c r="KO76" s="31"/>
      <c r="KP76" s="31"/>
      <c r="KQ76" s="31"/>
      <c r="KR76" s="31"/>
      <c r="KS76" s="31"/>
      <c r="KT76" s="31"/>
      <c r="KU76" s="31"/>
      <c r="KV76" s="31"/>
      <c r="KW76" s="31"/>
      <c r="KX76" s="31"/>
      <c r="KY76" s="31"/>
      <c r="KZ76" s="31"/>
      <c r="LA76" s="31"/>
      <c r="LB76" s="31"/>
      <c r="LC76" s="31"/>
      <c r="LD76" s="31"/>
      <c r="LE76" s="31"/>
      <c r="LF76" s="31"/>
      <c r="LG76" s="31"/>
      <c r="LH76" s="31"/>
      <c r="LI76" s="31"/>
      <c r="LJ76" s="31"/>
      <c r="LK76" s="31"/>
      <c r="LL76" s="31"/>
      <c r="LM76" s="31"/>
      <c r="LN76" s="31"/>
      <c r="LO76" s="31"/>
      <c r="LP76" s="31"/>
      <c r="LQ76" s="31"/>
      <c r="LR76" s="31"/>
      <c r="LS76" s="31"/>
      <c r="LT76" s="31"/>
      <c r="LU76" s="31"/>
      <c r="LV76" s="31"/>
      <c r="LW76" s="31"/>
      <c r="LX76" s="31"/>
      <c r="LY76" s="31"/>
      <c r="LZ76" s="31"/>
      <c r="MA76" s="31"/>
      <c r="MB76" s="31"/>
      <c r="MC76" s="31"/>
      <c r="MD76" s="31"/>
      <c r="ME76" s="31"/>
      <c r="MF76" s="31"/>
    </row>
    <row r="77" spans="1:344" ht="56.25" customHeight="1">
      <c r="B77" s="120" t="str">
        <f>'OKR '!D132</f>
        <v>Realizar formação das equipes indicadas</v>
      </c>
      <c r="C77" s="120" t="str">
        <f>'OKR '!E132</f>
        <v>Equipe Microrregional, SES (Equipe da Telessaúde + NSDIGI), Núcleos de telessaúde</v>
      </c>
      <c r="D77" s="90"/>
      <c r="E77" s="143">
        <f>'OKR '!G132</f>
        <v>46204</v>
      </c>
      <c r="F77" s="143">
        <f>'OKR '!H132</f>
        <v>46295</v>
      </c>
      <c r="G77" s="14"/>
      <c r="H77" s="14"/>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c r="EG77" s="31"/>
      <c r="EH77" s="31"/>
      <c r="EI77" s="31"/>
      <c r="EJ77" s="31"/>
      <c r="EK77" s="31"/>
      <c r="EL77" s="31"/>
      <c r="EM77" s="31"/>
      <c r="EN77" s="31"/>
      <c r="EO77" s="31"/>
      <c r="EP77" s="31"/>
      <c r="EQ77" s="31"/>
      <c r="ER77" s="31"/>
      <c r="ES77" s="31"/>
      <c r="ET77" s="31"/>
      <c r="EU77" s="31"/>
      <c r="EV77" s="31"/>
      <c r="EW77" s="31"/>
      <c r="EX77" s="31"/>
      <c r="EY77" s="31"/>
      <c r="EZ77" s="31"/>
      <c r="FA77" s="31"/>
      <c r="FB77" s="31"/>
      <c r="FC77" s="31"/>
      <c r="FD77" s="31"/>
      <c r="FE77" s="31"/>
      <c r="FF77" s="31"/>
      <c r="FG77" s="31"/>
      <c r="FH77" s="31"/>
      <c r="FI77" s="31"/>
      <c r="FJ77" s="31"/>
      <c r="FK77" s="31"/>
      <c r="FL77" s="31"/>
      <c r="FM77" s="31"/>
      <c r="FN77" s="31"/>
      <c r="FO77" s="31"/>
      <c r="FP77" s="31"/>
      <c r="FQ77" s="31"/>
      <c r="FR77" s="31"/>
      <c r="FS77" s="31"/>
      <c r="FT77" s="31"/>
      <c r="FU77" s="31"/>
      <c r="FV77" s="31"/>
      <c r="FW77" s="31"/>
      <c r="FX77" s="31"/>
      <c r="FY77" s="31"/>
      <c r="FZ77" s="31"/>
      <c r="GA77" s="31"/>
      <c r="GB77" s="31"/>
      <c r="GC77" s="31"/>
      <c r="GD77" s="31"/>
      <c r="GE77" s="31"/>
      <c r="GF77" s="31"/>
      <c r="GG77" s="31"/>
      <c r="GH77" s="31"/>
      <c r="GI77" s="31"/>
      <c r="GJ77" s="31"/>
      <c r="GK77" s="31"/>
      <c r="GL77" s="31"/>
      <c r="GM77" s="31"/>
      <c r="GN77" s="31"/>
      <c r="GO77" s="31"/>
      <c r="GP77" s="31"/>
      <c r="GQ77" s="31"/>
      <c r="GR77" s="31"/>
      <c r="GS77" s="31"/>
      <c r="GT77" s="31"/>
      <c r="GU77" s="31"/>
      <c r="GV77" s="31"/>
      <c r="GW77" s="31"/>
      <c r="GX77" s="31"/>
      <c r="GY77" s="31"/>
      <c r="GZ77" s="31"/>
      <c r="HA77" s="31"/>
      <c r="HB77" s="31"/>
      <c r="HC77" s="31"/>
      <c r="HD77" s="31"/>
      <c r="HE77" s="31"/>
      <c r="HF77" s="31"/>
      <c r="HG77" s="31"/>
      <c r="HH77" s="31"/>
      <c r="HI77" s="31"/>
      <c r="HJ77" s="31"/>
      <c r="HK77" s="31"/>
      <c r="HL77" s="31"/>
      <c r="HM77" s="31"/>
      <c r="HN77" s="31"/>
      <c r="HO77" s="31"/>
      <c r="HP77" s="31"/>
      <c r="HQ77" s="31"/>
      <c r="HR77" s="31"/>
      <c r="HS77" s="31"/>
      <c r="HT77" s="31"/>
      <c r="HU77" s="31"/>
      <c r="HV77" s="31"/>
      <c r="HW77" s="31"/>
      <c r="HX77" s="31"/>
      <c r="HY77" s="31"/>
      <c r="HZ77" s="31"/>
      <c r="IA77" s="31"/>
      <c r="IB77" s="31"/>
      <c r="IC77" s="31"/>
      <c r="ID77" s="31"/>
      <c r="IE77" s="31"/>
      <c r="IF77" s="31"/>
      <c r="IG77" s="31"/>
      <c r="IH77" s="31"/>
      <c r="II77" s="31"/>
      <c r="IJ77" s="31"/>
      <c r="IK77" s="31"/>
      <c r="IL77" s="31"/>
      <c r="IM77" s="31"/>
      <c r="IN77" s="31"/>
      <c r="IO77" s="31"/>
      <c r="IP77" s="31"/>
      <c r="IQ77" s="31"/>
      <c r="IR77" s="31"/>
      <c r="IS77" s="31"/>
      <c r="IT77" s="31"/>
      <c r="IU77" s="31"/>
      <c r="IV77" s="31"/>
      <c r="IW77" s="31"/>
      <c r="IX77" s="31"/>
      <c r="IY77" s="31"/>
      <c r="IZ77" s="31"/>
      <c r="JA77" s="31"/>
      <c r="JB77" s="31"/>
      <c r="JC77" s="31"/>
      <c r="JD77" s="31"/>
      <c r="JE77" s="31"/>
      <c r="JF77" s="31"/>
      <c r="JG77" s="31"/>
      <c r="JH77" s="31"/>
      <c r="JI77" s="31"/>
      <c r="JJ77" s="31"/>
      <c r="JK77" s="31"/>
      <c r="JL77" s="31"/>
      <c r="JM77" s="31"/>
      <c r="JN77" s="31"/>
      <c r="JO77" s="31"/>
      <c r="JP77" s="31"/>
      <c r="JQ77" s="31"/>
      <c r="JR77" s="31"/>
      <c r="JS77" s="31"/>
      <c r="JT77" s="31"/>
      <c r="JU77" s="31"/>
      <c r="JV77" s="31"/>
      <c r="JW77" s="31"/>
      <c r="JX77" s="31"/>
      <c r="JY77" s="31"/>
      <c r="JZ77" s="31"/>
      <c r="KA77" s="31"/>
      <c r="KB77" s="31"/>
      <c r="KC77" s="31"/>
      <c r="KD77" s="31"/>
      <c r="KE77" s="31"/>
      <c r="KF77" s="31"/>
      <c r="KG77" s="31"/>
      <c r="KH77" s="31"/>
      <c r="KI77" s="31"/>
      <c r="KJ77" s="31"/>
      <c r="KK77" s="31"/>
      <c r="KL77" s="31"/>
      <c r="KM77" s="31"/>
      <c r="KN77" s="31"/>
      <c r="KO77" s="31"/>
      <c r="KP77" s="31"/>
      <c r="KQ77" s="31"/>
      <c r="KR77" s="31"/>
      <c r="KS77" s="31"/>
      <c r="KT77" s="31"/>
      <c r="KU77" s="31"/>
      <c r="KV77" s="31"/>
      <c r="KW77" s="31"/>
      <c r="KX77" s="31"/>
      <c r="KY77" s="31"/>
      <c r="KZ77" s="31"/>
      <c r="LA77" s="31"/>
      <c r="LB77" s="31"/>
      <c r="LC77" s="31"/>
      <c r="LD77" s="31"/>
      <c r="LE77" s="31"/>
      <c r="LF77" s="31"/>
      <c r="LG77" s="31"/>
      <c r="LH77" s="31"/>
      <c r="LI77" s="31"/>
      <c r="LJ77" s="31"/>
      <c r="LK77" s="31"/>
      <c r="LL77" s="31"/>
      <c r="LM77" s="31"/>
      <c r="LN77" s="31"/>
      <c r="LO77" s="31"/>
      <c r="LP77" s="31"/>
      <c r="LQ77" s="31"/>
      <c r="LR77" s="31"/>
      <c r="LS77" s="31"/>
      <c r="LT77" s="31"/>
      <c r="LU77" s="31"/>
      <c r="LV77" s="31"/>
      <c r="LW77" s="31"/>
      <c r="LX77" s="31"/>
      <c r="LY77" s="31"/>
      <c r="LZ77" s="31"/>
      <c r="MA77" s="31"/>
      <c r="MB77" s="31"/>
      <c r="MC77" s="31"/>
      <c r="MD77" s="31"/>
      <c r="ME77" s="31"/>
      <c r="MF77" s="31"/>
    </row>
    <row r="78" spans="1:344" ht="56.25" customHeight="1">
      <c r="B78" s="120" t="str">
        <f>'OKR '!D133</f>
        <v>Criar a rede de profissionais habilitados em telessaúde</v>
      </c>
      <c r="C78" s="120" t="str">
        <f>'OKR '!E133</f>
        <v>Equipe Microrregional, SES (Equipe da Telessaúde + NSDIGI), Núcleos de telessaúde</v>
      </c>
      <c r="D78" s="90"/>
      <c r="E78" s="143">
        <f>'OKR '!G133</f>
        <v>46235</v>
      </c>
      <c r="F78" s="143">
        <f>'OKR '!H133</f>
        <v>46326</v>
      </c>
      <c r="G78" s="14"/>
      <c r="H78" s="14"/>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c r="EG78" s="31"/>
      <c r="EH78" s="31"/>
      <c r="EI78" s="31"/>
      <c r="EJ78" s="31"/>
      <c r="EK78" s="31"/>
      <c r="EL78" s="31"/>
      <c r="EM78" s="31"/>
      <c r="EN78" s="31"/>
      <c r="EO78" s="31"/>
      <c r="EP78" s="31"/>
      <c r="EQ78" s="31"/>
      <c r="ER78" s="31"/>
      <c r="ES78" s="31"/>
      <c r="ET78" s="31"/>
      <c r="EU78" s="31"/>
      <c r="EV78" s="31"/>
      <c r="EW78" s="31"/>
      <c r="EX78" s="31"/>
      <c r="EY78" s="31"/>
      <c r="EZ78" s="31"/>
      <c r="FA78" s="31"/>
      <c r="FB78" s="31"/>
      <c r="FC78" s="31"/>
      <c r="FD78" s="31"/>
      <c r="FE78" s="31"/>
      <c r="FF78" s="31"/>
      <c r="FG78" s="31"/>
      <c r="FH78" s="31"/>
      <c r="FI78" s="31"/>
      <c r="FJ78" s="31"/>
      <c r="FK78" s="31"/>
      <c r="FL78" s="31"/>
      <c r="FM78" s="31"/>
      <c r="FN78" s="31"/>
      <c r="FO78" s="31"/>
      <c r="FP78" s="31"/>
      <c r="FQ78" s="31"/>
      <c r="FR78" s="31"/>
      <c r="FS78" s="31"/>
      <c r="FT78" s="31"/>
      <c r="FU78" s="31"/>
      <c r="FV78" s="31"/>
      <c r="FW78" s="31"/>
      <c r="FX78" s="31"/>
      <c r="FY78" s="31"/>
      <c r="FZ78" s="31"/>
      <c r="GA78" s="31"/>
      <c r="GB78" s="31"/>
      <c r="GC78" s="31"/>
      <c r="GD78" s="31"/>
      <c r="GE78" s="31"/>
      <c r="GF78" s="31"/>
      <c r="GG78" s="31"/>
      <c r="GH78" s="31"/>
      <c r="GI78" s="31"/>
      <c r="GJ78" s="31"/>
      <c r="GK78" s="31"/>
      <c r="GL78" s="31"/>
      <c r="GM78" s="31"/>
      <c r="GN78" s="31"/>
      <c r="GO78" s="31"/>
      <c r="GP78" s="31"/>
      <c r="GQ78" s="31"/>
      <c r="GR78" s="31"/>
      <c r="GS78" s="31"/>
      <c r="GT78" s="31"/>
      <c r="GU78" s="31"/>
      <c r="GV78" s="31"/>
      <c r="GW78" s="31"/>
      <c r="GX78" s="31"/>
      <c r="GY78" s="31"/>
      <c r="GZ78" s="31"/>
      <c r="HA78" s="31"/>
      <c r="HB78" s="31"/>
      <c r="HC78" s="31"/>
      <c r="HD78" s="31"/>
      <c r="HE78" s="31"/>
      <c r="HF78" s="31"/>
      <c r="HG78" s="31"/>
      <c r="HH78" s="31"/>
      <c r="HI78" s="31"/>
      <c r="HJ78" s="31"/>
      <c r="HK78" s="31"/>
      <c r="HL78" s="31"/>
      <c r="HM78" s="31"/>
      <c r="HN78" s="31"/>
      <c r="HO78" s="31"/>
      <c r="HP78" s="31"/>
      <c r="HQ78" s="31"/>
      <c r="HR78" s="31"/>
      <c r="HS78" s="31"/>
      <c r="HT78" s="31"/>
      <c r="HU78" s="31"/>
      <c r="HV78" s="31"/>
      <c r="HW78" s="31"/>
      <c r="HX78" s="31"/>
      <c r="HY78" s="31"/>
      <c r="HZ78" s="31"/>
      <c r="IA78" s="31"/>
      <c r="IB78" s="31"/>
      <c r="IC78" s="31"/>
      <c r="ID78" s="31"/>
      <c r="IE78" s="31"/>
      <c r="IF78" s="31"/>
      <c r="IG78" s="31"/>
      <c r="IH78" s="31"/>
      <c r="II78" s="31"/>
      <c r="IJ78" s="31"/>
      <c r="IK78" s="31"/>
      <c r="IL78" s="31"/>
      <c r="IM78" s="31"/>
      <c r="IN78" s="31"/>
      <c r="IO78" s="31"/>
      <c r="IP78" s="31"/>
      <c r="IQ78" s="31"/>
      <c r="IR78" s="31"/>
      <c r="IS78" s="31"/>
      <c r="IT78" s="31"/>
      <c r="IU78" s="31"/>
      <c r="IV78" s="31"/>
      <c r="IW78" s="31"/>
      <c r="IX78" s="31"/>
      <c r="IY78" s="31"/>
      <c r="IZ78" s="31"/>
      <c r="JA78" s="31"/>
      <c r="JB78" s="31"/>
      <c r="JC78" s="31"/>
      <c r="JD78" s="31"/>
      <c r="JE78" s="31"/>
      <c r="JF78" s="31"/>
      <c r="JG78" s="31"/>
      <c r="JH78" s="31"/>
      <c r="JI78" s="31"/>
      <c r="JJ78" s="31"/>
      <c r="JK78" s="31"/>
      <c r="JL78" s="31"/>
      <c r="JM78" s="31"/>
      <c r="JN78" s="31"/>
      <c r="JO78" s="31"/>
      <c r="JP78" s="31"/>
      <c r="JQ78" s="31"/>
      <c r="JR78" s="31"/>
      <c r="JS78" s="31"/>
      <c r="JT78" s="31"/>
      <c r="JU78" s="31"/>
      <c r="JV78" s="31"/>
      <c r="JW78" s="31"/>
      <c r="JX78" s="31"/>
      <c r="JY78" s="31"/>
      <c r="JZ78" s="31"/>
      <c r="KA78" s="31"/>
      <c r="KB78" s="31"/>
      <c r="KC78" s="31"/>
      <c r="KD78" s="31"/>
      <c r="KE78" s="31"/>
      <c r="KF78" s="31"/>
      <c r="KG78" s="31"/>
      <c r="KH78" s="31"/>
      <c r="KI78" s="31"/>
      <c r="KJ78" s="31"/>
      <c r="KK78" s="31"/>
      <c r="KL78" s="31"/>
      <c r="KM78" s="31"/>
      <c r="KN78" s="31"/>
      <c r="KO78" s="31"/>
      <c r="KP78" s="31"/>
      <c r="KQ78" s="31"/>
      <c r="KR78" s="31"/>
      <c r="KS78" s="31"/>
      <c r="KT78" s="31"/>
      <c r="KU78" s="31"/>
      <c r="KV78" s="31"/>
      <c r="KW78" s="31"/>
      <c r="KX78" s="31"/>
      <c r="KY78" s="31"/>
      <c r="KZ78" s="31"/>
      <c r="LA78" s="31"/>
      <c r="LB78" s="31"/>
      <c r="LC78" s="31"/>
      <c r="LD78" s="31"/>
      <c r="LE78" s="31"/>
      <c r="LF78" s="31"/>
      <c r="LG78" s="31"/>
      <c r="LH78" s="31"/>
      <c r="LI78" s="31"/>
      <c r="LJ78" s="31"/>
      <c r="LK78" s="31"/>
      <c r="LL78" s="31"/>
      <c r="LM78" s="31"/>
      <c r="LN78" s="31"/>
      <c r="LO78" s="31"/>
      <c r="LP78" s="31"/>
      <c r="LQ78" s="31"/>
      <c r="LR78" s="31"/>
      <c r="LS78" s="31"/>
      <c r="LT78" s="31"/>
      <c r="LU78" s="31"/>
      <c r="LV78" s="31"/>
      <c r="LW78" s="31"/>
      <c r="LX78" s="31"/>
      <c r="LY78" s="31"/>
      <c r="LZ78" s="31"/>
      <c r="MA78" s="31"/>
      <c r="MB78" s="31"/>
      <c r="MC78" s="31"/>
      <c r="MD78" s="31"/>
      <c r="ME78" s="31"/>
      <c r="MF78" s="31"/>
    </row>
    <row r="79" spans="1:344" ht="15" hidden="1" customHeight="1">
      <c r="B79" s="120">
        <f>'OKR '!D134</f>
        <v>0</v>
      </c>
      <c r="C79" s="120">
        <f>'OKR '!E134</f>
        <v>0</v>
      </c>
      <c r="D79" s="90"/>
      <c r="E79" s="143">
        <f>'OKR '!G134</f>
        <v>0</v>
      </c>
      <c r="F79" s="143">
        <f>'OKR '!H134</f>
        <v>0</v>
      </c>
      <c r="G79" s="14"/>
      <c r="H79" s="14"/>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c r="EG79" s="31"/>
      <c r="EH79" s="31"/>
      <c r="EI79" s="31"/>
      <c r="EJ79" s="31"/>
      <c r="EK79" s="31"/>
      <c r="EL79" s="31"/>
      <c r="EM79" s="31"/>
      <c r="EN79" s="31"/>
      <c r="EO79" s="31"/>
      <c r="EP79" s="31"/>
      <c r="EQ79" s="31"/>
      <c r="ER79" s="31"/>
      <c r="ES79" s="31"/>
      <c r="ET79" s="31"/>
      <c r="EU79" s="31"/>
      <c r="EV79" s="31"/>
      <c r="EW79" s="31"/>
      <c r="EX79" s="31"/>
      <c r="EY79" s="31"/>
      <c r="EZ79" s="31"/>
      <c r="FA79" s="31"/>
      <c r="FB79" s="31"/>
      <c r="FC79" s="31"/>
      <c r="FD79" s="31"/>
      <c r="FE79" s="31"/>
      <c r="FF79" s="31"/>
      <c r="FG79" s="31"/>
      <c r="FH79" s="31"/>
      <c r="FI79" s="31"/>
      <c r="FJ79" s="31"/>
      <c r="FK79" s="31"/>
      <c r="FL79" s="31"/>
      <c r="FM79" s="31"/>
      <c r="FN79" s="31"/>
      <c r="FO79" s="31"/>
      <c r="FP79" s="31"/>
      <c r="FQ79" s="31"/>
      <c r="FR79" s="31"/>
      <c r="FS79" s="31"/>
      <c r="FT79" s="31"/>
      <c r="FU79" s="31"/>
      <c r="FV79" s="31"/>
      <c r="FW79" s="31"/>
      <c r="FX79" s="31"/>
      <c r="FY79" s="31"/>
      <c r="FZ79" s="31"/>
      <c r="GA79" s="31"/>
      <c r="GB79" s="31"/>
      <c r="GC79" s="31"/>
      <c r="GD79" s="31"/>
      <c r="GE79" s="31"/>
      <c r="GF79" s="31"/>
      <c r="GG79" s="31"/>
      <c r="GH79" s="31"/>
      <c r="GI79" s="31"/>
      <c r="GJ79" s="31"/>
      <c r="GK79" s="31"/>
      <c r="GL79" s="31"/>
      <c r="GM79" s="31"/>
      <c r="GN79" s="31"/>
      <c r="GO79" s="31"/>
      <c r="GP79" s="31"/>
      <c r="GQ79" s="31"/>
      <c r="GR79" s="31"/>
      <c r="GS79" s="31"/>
      <c r="GT79" s="31"/>
      <c r="GU79" s="31"/>
      <c r="GV79" s="31"/>
      <c r="GW79" s="31"/>
      <c r="GX79" s="31"/>
      <c r="GY79" s="31"/>
      <c r="GZ79" s="31"/>
      <c r="HA79" s="31"/>
      <c r="HB79" s="31"/>
      <c r="HC79" s="31"/>
      <c r="HD79" s="31"/>
      <c r="HE79" s="31"/>
      <c r="HF79" s="31"/>
      <c r="HG79" s="31"/>
      <c r="HH79" s="31"/>
      <c r="HI79" s="31"/>
      <c r="HJ79" s="31"/>
      <c r="HK79" s="31"/>
      <c r="HL79" s="31"/>
      <c r="HM79" s="31"/>
      <c r="HN79" s="31"/>
      <c r="HO79" s="31"/>
      <c r="HP79" s="31"/>
      <c r="HQ79" s="31"/>
      <c r="HR79" s="31"/>
      <c r="HS79" s="31"/>
      <c r="HT79" s="31"/>
      <c r="HU79" s="31"/>
      <c r="HV79" s="31"/>
      <c r="HW79" s="31"/>
      <c r="HX79" s="31"/>
      <c r="HY79" s="31"/>
      <c r="HZ79" s="31"/>
      <c r="IA79" s="31"/>
      <c r="IB79" s="31"/>
      <c r="IC79" s="31"/>
      <c r="ID79" s="31"/>
      <c r="IE79" s="31"/>
      <c r="IF79" s="31"/>
      <c r="IG79" s="31"/>
      <c r="IH79" s="31"/>
      <c r="II79" s="31"/>
      <c r="IJ79" s="31"/>
      <c r="IK79" s="31"/>
      <c r="IL79" s="31"/>
      <c r="IM79" s="31"/>
      <c r="IN79" s="31"/>
      <c r="IO79" s="31"/>
      <c r="IP79" s="31"/>
      <c r="IQ79" s="31"/>
      <c r="IR79" s="31"/>
      <c r="IS79" s="31"/>
      <c r="IT79" s="31"/>
      <c r="IU79" s="31"/>
      <c r="IV79" s="31"/>
      <c r="IW79" s="31"/>
      <c r="IX79" s="31"/>
      <c r="IY79" s="31"/>
      <c r="IZ79" s="31"/>
      <c r="JA79" s="31"/>
      <c r="JB79" s="31"/>
      <c r="JC79" s="31"/>
      <c r="JD79" s="31"/>
      <c r="JE79" s="31"/>
      <c r="JF79" s="31"/>
      <c r="JG79" s="31"/>
      <c r="JH79" s="31"/>
      <c r="JI79" s="31"/>
      <c r="JJ79" s="31"/>
      <c r="JK79" s="31"/>
      <c r="JL79" s="31"/>
      <c r="JM79" s="31"/>
      <c r="JN79" s="31"/>
      <c r="JO79" s="31"/>
      <c r="JP79" s="31"/>
      <c r="JQ79" s="31"/>
      <c r="JR79" s="31"/>
      <c r="JS79" s="31"/>
      <c r="JT79" s="31"/>
      <c r="JU79" s="31"/>
      <c r="JV79" s="31"/>
      <c r="JW79" s="31"/>
      <c r="JX79" s="31"/>
      <c r="JY79" s="31"/>
      <c r="JZ79" s="31"/>
      <c r="KA79" s="31"/>
      <c r="KB79" s="31"/>
      <c r="KC79" s="31"/>
      <c r="KD79" s="31"/>
      <c r="KE79" s="31"/>
      <c r="KF79" s="31"/>
      <c r="KG79" s="31"/>
      <c r="KH79" s="31"/>
      <c r="KI79" s="31"/>
      <c r="KJ79" s="31"/>
      <c r="KK79" s="31"/>
      <c r="KL79" s="31"/>
      <c r="KM79" s="31"/>
      <c r="KN79" s="31"/>
      <c r="KO79" s="31"/>
      <c r="KP79" s="31"/>
      <c r="KQ79" s="31"/>
      <c r="KR79" s="31"/>
      <c r="KS79" s="31"/>
      <c r="KT79" s="31"/>
      <c r="KU79" s="31"/>
      <c r="KV79" s="31"/>
      <c r="KW79" s="31"/>
      <c r="KX79" s="31"/>
      <c r="KY79" s="31"/>
      <c r="KZ79" s="31"/>
      <c r="LA79" s="31"/>
      <c r="LB79" s="31"/>
      <c r="LC79" s="31"/>
      <c r="LD79" s="31"/>
      <c r="LE79" s="31"/>
      <c r="LF79" s="31"/>
      <c r="LG79" s="31"/>
      <c r="LH79" s="31"/>
      <c r="LI79" s="31"/>
      <c r="LJ79" s="31"/>
      <c r="LK79" s="31"/>
      <c r="LL79" s="31"/>
      <c r="LM79" s="31"/>
      <c r="LN79" s="31"/>
      <c r="LO79" s="31"/>
      <c r="LP79" s="31"/>
      <c r="LQ79" s="31"/>
      <c r="LR79" s="31"/>
      <c r="LS79" s="31"/>
      <c r="LT79" s="31"/>
      <c r="LU79" s="31"/>
      <c r="LV79" s="31"/>
      <c r="LW79" s="31"/>
      <c r="LX79" s="31"/>
      <c r="LY79" s="31"/>
      <c r="LZ79" s="31"/>
      <c r="MA79" s="31"/>
      <c r="MB79" s="31"/>
      <c r="MC79" s="31"/>
      <c r="MD79" s="31"/>
      <c r="ME79" s="31"/>
      <c r="MF79" s="31"/>
    </row>
    <row r="80" spans="1:344" ht="48" customHeight="1">
      <c r="A80" s="46" t="s">
        <v>160</v>
      </c>
      <c r="B80" s="201" t="str">
        <f>'OKR '!D142</f>
        <v>Promover a integração de sistemas oficiais em todos os níveis: Estadual, macrorregional, microrregional e municipal</v>
      </c>
      <c r="C80" s="9"/>
      <c r="D80" s="9"/>
      <c r="E80" s="9"/>
      <c r="F80" s="9"/>
      <c r="G80" s="9"/>
      <c r="H80" s="9" t="s">
        <v>164</v>
      </c>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c r="IG80" s="10"/>
      <c r="IH80" s="10"/>
      <c r="II80" s="10"/>
      <c r="IJ80" s="10"/>
      <c r="IK80" s="10"/>
      <c r="IL80" s="10"/>
      <c r="IM80" s="10"/>
      <c r="IN80" s="10"/>
      <c r="IO80" s="10"/>
      <c r="IP80" s="10"/>
      <c r="IQ80" s="10"/>
      <c r="IR80" s="10"/>
      <c r="IS80" s="10"/>
      <c r="IT80" s="10"/>
      <c r="IU80" s="10"/>
      <c r="IV80" s="10"/>
      <c r="IW80" s="10"/>
      <c r="IX80" s="10"/>
      <c r="IY80" s="10"/>
      <c r="IZ80" s="10"/>
      <c r="JA80" s="10"/>
      <c r="JB80" s="10"/>
      <c r="JC80" s="10"/>
      <c r="JD80" s="10"/>
      <c r="JE80" s="10"/>
      <c r="JF80" s="10"/>
      <c r="JG80" s="10"/>
      <c r="JH80" s="10"/>
      <c r="JI80" s="10"/>
      <c r="JJ80" s="10"/>
      <c r="JK80" s="10"/>
      <c r="JL80" s="10"/>
      <c r="JM80" s="10"/>
      <c r="JN80" s="10"/>
      <c r="JO80" s="10"/>
      <c r="JP80" s="10"/>
      <c r="JQ80" s="10"/>
      <c r="JR80" s="10"/>
      <c r="JS80" s="10"/>
      <c r="JT80" s="10"/>
      <c r="JU80" s="10"/>
      <c r="JV80" s="10"/>
      <c r="JW80" s="10"/>
      <c r="JX80" s="10"/>
      <c r="JY80" s="10"/>
      <c r="JZ80" s="10"/>
      <c r="KA80" s="10"/>
      <c r="KB80" s="10"/>
      <c r="KC80" s="10"/>
      <c r="KD80" s="10"/>
      <c r="KE80" s="10"/>
      <c r="KF80" s="10"/>
      <c r="KG80" s="10"/>
      <c r="KH80" s="10"/>
      <c r="KI80" s="10"/>
      <c r="KJ80" s="10"/>
      <c r="KK80" s="10"/>
      <c r="KL80" s="10"/>
      <c r="KM80" s="10"/>
      <c r="KN80" s="10"/>
      <c r="KO80" s="10"/>
      <c r="KP80" s="10"/>
      <c r="KQ80" s="10"/>
      <c r="KR80" s="10"/>
      <c r="KS80" s="10"/>
      <c r="KT80" s="10"/>
      <c r="KU80" s="10"/>
      <c r="KV80" s="10"/>
      <c r="KW80" s="10"/>
      <c r="KX80" s="10"/>
      <c r="KY80" s="10"/>
      <c r="KZ80" s="10"/>
      <c r="LA80" s="10"/>
      <c r="LB80" s="10"/>
      <c r="LC80" s="10"/>
      <c r="LD80" s="10"/>
      <c r="LE80" s="10"/>
      <c r="LF80" s="10"/>
      <c r="LG80" s="10"/>
      <c r="LH80" s="10"/>
      <c r="LI80" s="10"/>
      <c r="LJ80" s="10"/>
      <c r="LK80" s="10"/>
      <c r="LL80" s="10"/>
      <c r="LM80" s="10"/>
      <c r="LN80" s="10"/>
      <c r="LO80" s="10"/>
      <c r="LP80" s="10"/>
      <c r="LQ80" s="10"/>
      <c r="LR80" s="10"/>
      <c r="LS80" s="10"/>
      <c r="LT80" s="10"/>
      <c r="LU80" s="10"/>
      <c r="LV80" s="10"/>
      <c r="LW80" s="10"/>
      <c r="LX80" s="10"/>
      <c r="LY80" s="10"/>
      <c r="LZ80" s="10"/>
      <c r="MA80" s="10"/>
      <c r="MB80" s="10"/>
      <c r="MC80" s="10"/>
      <c r="MD80" s="10"/>
      <c r="ME80" s="10"/>
      <c r="MF80" s="10"/>
    </row>
    <row r="81" spans="1:344" ht="15" hidden="1" customHeight="1">
      <c r="A81" s="45" t="s">
        <v>165</v>
      </c>
      <c r="C81" s="48"/>
      <c r="E81"/>
      <c r="H81" t="str">
        <f ca="1">IF(OR(ISBLANK(início_da_tarefa),ISBLANK(término_da_tarefa)),"",término_da_tarefa-início_da_tarefa+1)</f>
        <v/>
      </c>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c r="EG81" s="31"/>
      <c r="EH81" s="31"/>
      <c r="EI81" s="31"/>
      <c r="EJ81" s="31"/>
      <c r="EK81" s="31"/>
      <c r="EL81" s="31"/>
      <c r="EM81" s="31"/>
      <c r="EN81" s="31"/>
      <c r="EO81" s="31"/>
      <c r="EP81" s="31"/>
      <c r="EQ81" s="31"/>
      <c r="ER81" s="31"/>
      <c r="ES81" s="31"/>
      <c r="ET81" s="31"/>
      <c r="EU81" s="31"/>
      <c r="EV81" s="31"/>
      <c r="EW81" s="31"/>
      <c r="EX81" s="31"/>
      <c r="EY81" s="31"/>
      <c r="EZ81" s="31"/>
      <c r="FA81" s="31"/>
      <c r="FB81" s="31"/>
      <c r="FC81" s="31"/>
      <c r="FD81" s="31"/>
      <c r="FE81" s="31"/>
      <c r="FF81" s="31"/>
      <c r="FG81" s="31"/>
      <c r="FH81" s="31"/>
      <c r="FI81" s="31"/>
      <c r="FJ81" s="31"/>
      <c r="FK81" s="31"/>
      <c r="FL81" s="31"/>
      <c r="FM81" s="31"/>
      <c r="FN81" s="31"/>
      <c r="FO81" s="31"/>
      <c r="FP81" s="31"/>
      <c r="FQ81" s="31"/>
      <c r="FR81" s="31"/>
      <c r="FS81" s="31"/>
      <c r="FT81" s="31"/>
      <c r="FU81" s="31"/>
      <c r="FV81" s="31"/>
      <c r="FW81" s="31"/>
      <c r="FX81" s="31"/>
      <c r="FY81" s="31"/>
      <c r="FZ81" s="31"/>
      <c r="GA81" s="31"/>
      <c r="GB81" s="31"/>
      <c r="GC81" s="31"/>
      <c r="GD81" s="31"/>
      <c r="GE81" s="31"/>
      <c r="GF81" s="31"/>
      <c r="GG81" s="31"/>
      <c r="GH81" s="31"/>
      <c r="GI81" s="31"/>
      <c r="GJ81" s="31"/>
      <c r="GK81" s="31"/>
      <c r="GL81" s="31"/>
      <c r="GM81" s="31"/>
      <c r="GN81" s="31"/>
      <c r="GO81" s="31"/>
      <c r="GP81" s="31"/>
      <c r="GQ81" s="31"/>
      <c r="GR81" s="31"/>
      <c r="GS81" s="31"/>
      <c r="GT81" s="31"/>
      <c r="GU81" s="31"/>
      <c r="GV81" s="31"/>
      <c r="GW81" s="31"/>
      <c r="GX81" s="31"/>
      <c r="GY81" s="31"/>
      <c r="GZ81" s="31"/>
      <c r="HA81" s="31"/>
      <c r="HB81" s="31"/>
      <c r="HC81" s="31"/>
      <c r="HD81" s="31"/>
      <c r="HE81" s="31"/>
      <c r="HF81" s="31"/>
      <c r="HG81" s="31"/>
      <c r="HH81" s="31"/>
      <c r="HI81" s="31"/>
      <c r="HJ81" s="31"/>
      <c r="HK81" s="31"/>
      <c r="HL81" s="31"/>
      <c r="HM81" s="31"/>
      <c r="HN81" s="31"/>
      <c r="HO81" s="31"/>
      <c r="HP81" s="31"/>
      <c r="HQ81" s="31"/>
      <c r="HR81" s="31"/>
      <c r="HS81" s="31"/>
      <c r="HT81" s="31"/>
      <c r="HU81" s="31"/>
      <c r="HV81" s="31"/>
      <c r="HW81" s="31"/>
      <c r="HX81" s="31"/>
      <c r="HY81" s="31"/>
      <c r="HZ81" s="31"/>
      <c r="IA81" s="31"/>
      <c r="IB81" s="31"/>
      <c r="IC81" s="31"/>
      <c r="ID81" s="31"/>
      <c r="IE81" s="31"/>
      <c r="IF81" s="31"/>
      <c r="IG81" s="31"/>
      <c r="IH81" s="31"/>
      <c r="II81" s="31"/>
      <c r="IJ81" s="31"/>
      <c r="IK81" s="31"/>
      <c r="IL81" s="31"/>
      <c r="IM81" s="31"/>
      <c r="IN81" s="31"/>
      <c r="IO81" s="31"/>
      <c r="IP81" s="31"/>
      <c r="IQ81" s="31"/>
      <c r="IR81" s="31"/>
      <c r="IS81" s="31"/>
      <c r="IT81" s="31"/>
      <c r="IU81" s="31"/>
      <c r="IV81" s="31"/>
      <c r="IW81" s="31"/>
      <c r="IX81" s="31"/>
      <c r="IY81" s="31"/>
      <c r="IZ81" s="31"/>
      <c r="JA81" s="31"/>
      <c r="JB81" s="31"/>
      <c r="JC81" s="31"/>
      <c r="JD81" s="31"/>
      <c r="JE81" s="31"/>
      <c r="JF81" s="31"/>
      <c r="JG81" s="31"/>
      <c r="JH81" s="31"/>
      <c r="JI81" s="31"/>
      <c r="JJ81" s="31"/>
      <c r="JK81" s="31"/>
      <c r="JL81" s="31"/>
      <c r="JM81" s="31"/>
      <c r="JN81" s="31"/>
      <c r="JO81" s="31"/>
      <c r="JP81" s="31"/>
      <c r="JQ81" s="31"/>
      <c r="JR81" s="31"/>
      <c r="JS81" s="31"/>
      <c r="JT81" s="31"/>
      <c r="JU81" s="31"/>
      <c r="JV81" s="31"/>
      <c r="JW81" s="31"/>
      <c r="JX81" s="31"/>
      <c r="JY81" s="31"/>
      <c r="JZ81" s="31"/>
      <c r="KA81" s="31"/>
      <c r="KB81" s="31"/>
      <c r="KC81" s="31"/>
      <c r="KD81" s="31"/>
      <c r="KE81" s="31"/>
      <c r="KF81" s="31"/>
      <c r="KG81" s="31"/>
      <c r="KH81" s="31"/>
      <c r="KI81" s="31"/>
      <c r="KJ81" s="31"/>
      <c r="KK81" s="31"/>
      <c r="KL81" s="31"/>
      <c r="KM81" s="31"/>
      <c r="KN81" s="31"/>
      <c r="KO81" s="31"/>
      <c r="KP81" s="31"/>
      <c r="KQ81" s="31"/>
      <c r="KR81" s="31"/>
      <c r="KS81" s="31"/>
      <c r="KT81" s="31"/>
      <c r="KU81" s="31"/>
      <c r="KV81" s="31"/>
      <c r="KW81" s="31"/>
      <c r="KX81" s="31"/>
      <c r="KY81" s="31"/>
      <c r="KZ81" s="31"/>
      <c r="LA81" s="31"/>
      <c r="LB81" s="31"/>
      <c r="LC81" s="31"/>
      <c r="LD81" s="31"/>
      <c r="LE81" s="31"/>
      <c r="LF81" s="31"/>
      <c r="LG81" s="31"/>
      <c r="LH81" s="31"/>
      <c r="LI81" s="31"/>
      <c r="LJ81" s="31"/>
      <c r="LK81" s="31"/>
      <c r="LL81" s="31"/>
      <c r="LM81" s="31"/>
      <c r="LN81" s="31"/>
      <c r="LO81" s="31"/>
      <c r="LP81" s="31"/>
      <c r="LQ81" s="31"/>
      <c r="LR81" s="31"/>
      <c r="LS81" s="31"/>
      <c r="LT81" s="31"/>
      <c r="LU81" s="31"/>
      <c r="LV81" s="31"/>
      <c r="LW81" s="31"/>
      <c r="LX81" s="31"/>
      <c r="LY81" s="31"/>
      <c r="LZ81" s="31"/>
      <c r="MA81" s="31"/>
      <c r="MB81" s="31"/>
      <c r="MC81" s="31"/>
      <c r="MD81" s="31"/>
      <c r="ME81" s="31"/>
      <c r="MF81" s="31"/>
    </row>
    <row r="82" spans="1:344" ht="30" customHeight="1">
      <c r="A82" s="46" t="s">
        <v>166</v>
      </c>
      <c r="B82" s="261" t="str">
        <f>'OKR '!D152</f>
        <v>Diagnosticar e mapear os sistemas de informação</v>
      </c>
      <c r="C82" s="261"/>
      <c r="D82" s="261"/>
      <c r="E82" s="261"/>
      <c r="F82" s="261"/>
      <c r="G82" s="14"/>
      <c r="H82" s="14" t="str">
        <f t="shared" ca="1" si="332"/>
        <v/>
      </c>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c r="EG82" s="31"/>
      <c r="EH82" s="31"/>
      <c r="EI82" s="31"/>
      <c r="EJ82" s="31"/>
      <c r="EK82" s="31"/>
      <c r="EL82" s="31"/>
      <c r="EM82" s="31"/>
      <c r="EN82" s="31"/>
      <c r="EO82" s="31"/>
      <c r="EP82" s="31"/>
      <c r="EQ82" s="31"/>
      <c r="ER82" s="31"/>
      <c r="ES82" s="31"/>
      <c r="ET82" s="31"/>
      <c r="EU82" s="31"/>
      <c r="EV82" s="31"/>
      <c r="EW82" s="31"/>
      <c r="EX82" s="31"/>
      <c r="EY82" s="31"/>
      <c r="EZ82" s="31"/>
      <c r="FA82" s="31"/>
      <c r="FB82" s="31"/>
      <c r="FC82" s="31"/>
      <c r="FD82" s="31"/>
      <c r="FE82" s="31"/>
      <c r="FF82" s="31"/>
      <c r="FG82" s="31"/>
      <c r="FH82" s="31"/>
      <c r="FI82" s="31"/>
      <c r="FJ82" s="31"/>
      <c r="FK82" s="31"/>
      <c r="FL82" s="31"/>
      <c r="FM82" s="31"/>
      <c r="FN82" s="31"/>
      <c r="FO82" s="31"/>
      <c r="FP82" s="31"/>
      <c r="FQ82" s="31"/>
      <c r="FR82" s="31"/>
      <c r="FS82" s="31"/>
      <c r="FT82" s="31"/>
      <c r="FU82" s="31"/>
      <c r="FV82" s="31"/>
      <c r="FW82" s="31"/>
      <c r="FX82" s="31"/>
      <c r="FY82" s="31"/>
      <c r="FZ82" s="31"/>
      <c r="GA82" s="31"/>
      <c r="GB82" s="31"/>
      <c r="GC82" s="31"/>
      <c r="GD82" s="31"/>
      <c r="GE82" s="31"/>
      <c r="GF82" s="31"/>
      <c r="GG82" s="31"/>
      <c r="GH82" s="31"/>
      <c r="GI82" s="31"/>
      <c r="GJ82" s="31"/>
      <c r="GK82" s="31"/>
      <c r="GL82" s="31"/>
      <c r="GM82" s="31"/>
      <c r="GN82" s="31"/>
      <c r="GO82" s="31"/>
      <c r="GP82" s="31"/>
      <c r="GQ82" s="31"/>
      <c r="GR82" s="31"/>
      <c r="GS82" s="31"/>
      <c r="GT82" s="31"/>
      <c r="GU82" s="31"/>
      <c r="GV82" s="31"/>
      <c r="GW82" s="31"/>
      <c r="GX82" s="31"/>
      <c r="GY82" s="31"/>
      <c r="GZ82" s="31"/>
      <c r="HA82" s="31"/>
      <c r="HB82" s="31"/>
      <c r="HC82" s="31"/>
      <c r="HD82" s="31"/>
      <c r="HE82" s="31"/>
      <c r="HF82" s="31"/>
      <c r="HG82" s="31"/>
      <c r="HH82" s="31"/>
      <c r="HI82" s="31"/>
      <c r="HJ82" s="31"/>
      <c r="HK82" s="31"/>
      <c r="HL82" s="31"/>
      <c r="HM82" s="31"/>
      <c r="HN82" s="31"/>
      <c r="HO82" s="31"/>
      <c r="HP82" s="31"/>
      <c r="HQ82" s="31"/>
      <c r="HR82" s="31"/>
      <c r="HS82" s="31"/>
      <c r="HT82" s="31"/>
      <c r="HU82" s="31"/>
      <c r="HV82" s="31"/>
      <c r="HW82" s="31"/>
      <c r="HX82" s="31"/>
      <c r="HY82" s="31"/>
      <c r="HZ82" s="31"/>
      <c r="IA82" s="31"/>
      <c r="IB82" s="31"/>
      <c r="IC82" s="31"/>
      <c r="ID82" s="31"/>
      <c r="IE82" s="31"/>
      <c r="IF82" s="31"/>
      <c r="IG82" s="31"/>
      <c r="IH82" s="31"/>
      <c r="II82" s="31"/>
      <c r="IJ82" s="31"/>
      <c r="IK82" s="31"/>
      <c r="IL82" s="31"/>
      <c r="IM82" s="31"/>
      <c r="IN82" s="31"/>
      <c r="IO82" s="31"/>
      <c r="IP82" s="31"/>
      <c r="IQ82" s="31"/>
      <c r="IR82" s="31"/>
      <c r="IS82" s="31"/>
      <c r="IT82" s="31"/>
      <c r="IU82" s="31"/>
      <c r="IV82" s="31"/>
      <c r="IW82" s="31"/>
      <c r="IX82" s="31"/>
      <c r="IY82" s="31"/>
      <c r="IZ82" s="31"/>
      <c r="JA82" s="31"/>
      <c r="JB82" s="31"/>
      <c r="JC82" s="31"/>
      <c r="JD82" s="31"/>
      <c r="JE82" s="31"/>
      <c r="JF82" s="31"/>
      <c r="JG82" s="31"/>
      <c r="JH82" s="31"/>
      <c r="JI82" s="31"/>
      <c r="JJ82" s="31"/>
      <c r="JK82" s="31"/>
      <c r="JL82" s="31"/>
      <c r="JM82" s="31"/>
      <c r="JN82" s="31"/>
      <c r="JO82" s="31"/>
      <c r="JP82" s="31"/>
      <c r="JQ82" s="31"/>
      <c r="JR82" s="31"/>
      <c r="JS82" s="31"/>
      <c r="JT82" s="31"/>
      <c r="JU82" s="31"/>
      <c r="JV82" s="31"/>
      <c r="JW82" s="31"/>
      <c r="JX82" s="31"/>
      <c r="JY82" s="31"/>
      <c r="JZ82" s="31"/>
      <c r="KA82" s="31"/>
      <c r="KB82" s="31"/>
      <c r="KC82" s="31"/>
      <c r="KD82" s="31"/>
      <c r="KE82" s="31"/>
      <c r="KF82" s="31"/>
      <c r="KG82" s="31"/>
      <c r="KH82" s="31"/>
      <c r="KI82" s="31"/>
      <c r="KJ82" s="31"/>
      <c r="KK82" s="31"/>
      <c r="KL82" s="31"/>
      <c r="KM82" s="31"/>
      <c r="KN82" s="31"/>
      <c r="KO82" s="31"/>
      <c r="KP82" s="31"/>
      <c r="KQ82" s="31"/>
      <c r="KR82" s="31"/>
      <c r="KS82" s="31"/>
      <c r="KT82" s="31"/>
      <c r="KU82" s="31"/>
      <c r="KV82" s="31"/>
      <c r="KW82" s="31"/>
      <c r="KX82" s="31"/>
      <c r="KY82" s="31"/>
      <c r="KZ82" s="31"/>
      <c r="LA82" s="31"/>
      <c r="LB82" s="31"/>
      <c r="LC82" s="31"/>
      <c r="LD82" s="31"/>
      <c r="LE82" s="31"/>
      <c r="LF82" s="31"/>
      <c r="LG82" s="31"/>
      <c r="LH82" s="31"/>
      <c r="LI82" s="31"/>
      <c r="LJ82" s="31"/>
      <c r="LK82" s="31"/>
      <c r="LL82" s="31"/>
      <c r="LM82" s="31"/>
      <c r="LN82" s="31"/>
      <c r="LO82" s="31"/>
      <c r="LP82" s="31"/>
      <c r="LQ82" s="31"/>
      <c r="LR82" s="31"/>
      <c r="LS82" s="31"/>
      <c r="LT82" s="31"/>
      <c r="LU82" s="31"/>
      <c r="LV82" s="31"/>
      <c r="LW82" s="31"/>
      <c r="LX82" s="31"/>
      <c r="LY82" s="31"/>
      <c r="LZ82" s="31"/>
      <c r="MA82" s="31"/>
      <c r="MB82" s="31"/>
      <c r="MC82" s="31"/>
      <c r="MD82" s="31"/>
      <c r="ME82" s="31"/>
      <c r="MF82" s="31"/>
    </row>
    <row r="83" spans="1:344" ht="30" customHeight="1">
      <c r="A83" s="46"/>
      <c r="B83" s="191" t="str">
        <f>'OKR '!D155</f>
        <v>Nomear grupo de trabalho da micro</v>
      </c>
      <c r="C83" s="191" t="str">
        <f>'OKR '!E155</f>
        <v>Gestores municipais</v>
      </c>
      <c r="D83" s="192"/>
      <c r="E83" s="193">
        <f>'OKR '!G155</f>
        <v>46055</v>
      </c>
      <c r="F83" s="193">
        <f>'OKR '!H155</f>
        <v>46080</v>
      </c>
      <c r="G83" s="14"/>
      <c r="H83" s="14"/>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c r="EG83" s="31"/>
      <c r="EH83" s="31"/>
      <c r="EI83" s="31"/>
      <c r="EJ83" s="31"/>
      <c r="EK83" s="31"/>
      <c r="EL83" s="31"/>
      <c r="EM83" s="31"/>
      <c r="EN83" s="31"/>
      <c r="EO83" s="31"/>
      <c r="EP83" s="31"/>
      <c r="EQ83" s="31"/>
      <c r="ER83" s="31"/>
      <c r="ES83" s="31"/>
      <c r="ET83" s="31"/>
      <c r="EU83" s="31"/>
      <c r="EV83" s="31"/>
      <c r="EW83" s="31"/>
      <c r="EX83" s="31"/>
      <c r="EY83" s="31"/>
      <c r="EZ83" s="31"/>
      <c r="FA83" s="31"/>
      <c r="FB83" s="31"/>
      <c r="FC83" s="31"/>
      <c r="FD83" s="31"/>
      <c r="FE83" s="31"/>
      <c r="FF83" s="31"/>
      <c r="FG83" s="31"/>
      <c r="FH83" s="31"/>
      <c r="FI83" s="31"/>
      <c r="FJ83" s="31"/>
      <c r="FK83" s="31"/>
      <c r="FL83" s="31"/>
      <c r="FM83" s="31"/>
      <c r="FN83" s="31"/>
      <c r="FO83" s="31"/>
      <c r="FP83" s="31"/>
      <c r="FQ83" s="31"/>
      <c r="FR83" s="31"/>
      <c r="FS83" s="31"/>
      <c r="FT83" s="31"/>
      <c r="FU83" s="31"/>
      <c r="FV83" s="31"/>
      <c r="FW83" s="31"/>
      <c r="FX83" s="31"/>
      <c r="FY83" s="31"/>
      <c r="FZ83" s="31"/>
      <c r="GA83" s="31"/>
      <c r="GB83" s="31"/>
      <c r="GC83" s="31"/>
      <c r="GD83" s="31"/>
      <c r="GE83" s="31"/>
      <c r="GF83" s="31"/>
      <c r="GG83" s="31"/>
      <c r="GH83" s="31"/>
      <c r="GI83" s="31"/>
      <c r="GJ83" s="31"/>
      <c r="GK83" s="31"/>
      <c r="GL83" s="31"/>
      <c r="GM83" s="31"/>
      <c r="GN83" s="31"/>
      <c r="GO83" s="31"/>
      <c r="GP83" s="31"/>
      <c r="GQ83" s="31"/>
      <c r="GR83" s="31"/>
      <c r="GS83" s="31"/>
      <c r="GT83" s="31"/>
      <c r="GU83" s="31"/>
      <c r="GV83" s="31"/>
      <c r="GW83" s="31"/>
      <c r="GX83" s="31"/>
      <c r="GY83" s="31"/>
      <c r="GZ83" s="31"/>
      <c r="HA83" s="31"/>
      <c r="HB83" s="31"/>
      <c r="HC83" s="31"/>
      <c r="HD83" s="31"/>
      <c r="HE83" s="31"/>
      <c r="HF83" s="31"/>
      <c r="HG83" s="31"/>
      <c r="HH83" s="31"/>
      <c r="HI83" s="31"/>
      <c r="HJ83" s="31"/>
      <c r="HK83" s="31"/>
      <c r="HL83" s="31"/>
      <c r="HM83" s="31"/>
      <c r="HN83" s="31"/>
      <c r="HO83" s="31"/>
      <c r="HP83" s="31"/>
      <c r="HQ83" s="31"/>
      <c r="HR83" s="31"/>
      <c r="HS83" s="31"/>
      <c r="HT83" s="31"/>
      <c r="HU83" s="31"/>
      <c r="HV83" s="31"/>
      <c r="HW83" s="31"/>
      <c r="HX83" s="31"/>
      <c r="HY83" s="31"/>
      <c r="HZ83" s="31"/>
      <c r="IA83" s="31"/>
      <c r="IB83" s="31"/>
      <c r="IC83" s="31"/>
      <c r="ID83" s="31"/>
      <c r="IE83" s="31"/>
      <c r="IF83" s="31"/>
      <c r="IG83" s="31"/>
      <c r="IH83" s="31"/>
      <c r="II83" s="31"/>
      <c r="IJ83" s="31"/>
      <c r="IK83" s="31"/>
      <c r="IL83" s="31"/>
      <c r="IM83" s="31"/>
      <c r="IN83" s="31"/>
      <c r="IO83" s="31"/>
      <c r="IP83" s="31"/>
      <c r="IQ83" s="31"/>
      <c r="IR83" s="31"/>
      <c r="IS83" s="31"/>
      <c r="IT83" s="31"/>
      <c r="IU83" s="31"/>
      <c r="IV83" s="31"/>
      <c r="IW83" s="31"/>
      <c r="IX83" s="31"/>
      <c r="IY83" s="31"/>
      <c r="IZ83" s="31"/>
      <c r="JA83" s="31"/>
      <c r="JB83" s="31"/>
      <c r="JC83" s="31"/>
      <c r="JD83" s="31"/>
      <c r="JE83" s="31"/>
      <c r="JF83" s="31"/>
      <c r="JG83" s="31"/>
      <c r="JH83" s="31"/>
      <c r="JI83" s="31"/>
      <c r="JJ83" s="31"/>
      <c r="JK83" s="31"/>
      <c r="JL83" s="31"/>
      <c r="JM83" s="31"/>
      <c r="JN83" s="31"/>
      <c r="JO83" s="31"/>
      <c r="JP83" s="31"/>
      <c r="JQ83" s="31"/>
      <c r="JR83" s="31"/>
      <c r="JS83" s="31"/>
      <c r="JT83" s="31"/>
      <c r="JU83" s="31"/>
      <c r="JV83" s="31"/>
      <c r="JW83" s="31"/>
      <c r="JX83" s="31"/>
      <c r="JY83" s="31"/>
      <c r="JZ83" s="31"/>
      <c r="KA83" s="31"/>
      <c r="KB83" s="31"/>
      <c r="KC83" s="31"/>
      <c r="KD83" s="31"/>
      <c r="KE83" s="31"/>
      <c r="KF83" s="31"/>
      <c r="KG83" s="31"/>
      <c r="KH83" s="31"/>
      <c r="KI83" s="31"/>
      <c r="KJ83" s="31"/>
      <c r="KK83" s="31"/>
      <c r="KL83" s="31"/>
      <c r="KM83" s="31"/>
      <c r="KN83" s="31"/>
      <c r="KO83" s="31"/>
      <c r="KP83" s="31"/>
      <c r="KQ83" s="31"/>
      <c r="KR83" s="31"/>
      <c r="KS83" s="31"/>
      <c r="KT83" s="31"/>
      <c r="KU83" s="31"/>
      <c r="KV83" s="31"/>
      <c r="KW83" s="31"/>
      <c r="KX83" s="31"/>
      <c r="KY83" s="31"/>
      <c r="KZ83" s="31"/>
      <c r="LA83" s="31"/>
      <c r="LB83" s="31"/>
      <c r="LC83" s="31"/>
      <c r="LD83" s="31"/>
      <c r="LE83" s="31"/>
      <c r="LF83" s="31"/>
      <c r="LG83" s="31"/>
      <c r="LH83" s="31"/>
      <c r="LI83" s="31"/>
      <c r="LJ83" s="31"/>
      <c r="LK83" s="31"/>
      <c r="LL83" s="31"/>
      <c r="LM83" s="31"/>
      <c r="LN83" s="31"/>
      <c r="LO83" s="31"/>
      <c r="LP83" s="31"/>
      <c r="LQ83" s="31"/>
      <c r="LR83" s="31"/>
      <c r="LS83" s="31"/>
      <c r="LT83" s="31"/>
      <c r="LU83" s="31"/>
      <c r="LV83" s="31"/>
      <c r="LW83" s="31"/>
      <c r="LX83" s="31"/>
      <c r="LY83" s="31"/>
      <c r="LZ83" s="31"/>
      <c r="MA83" s="31"/>
      <c r="MB83" s="31"/>
      <c r="MC83" s="31"/>
      <c r="MD83" s="31"/>
      <c r="ME83" s="31"/>
      <c r="MF83" s="31"/>
    </row>
    <row r="84" spans="1:344" ht="74.25" customHeight="1">
      <c r="A84" s="46" t="s">
        <v>167</v>
      </c>
      <c r="B84" s="191" t="str">
        <f>'OKR '!D156</f>
        <v>Mapear os sistemas de informação em uso no município (ex: sistemas assistenciais, administrativos, regulatórios e de vigilância)</v>
      </c>
      <c r="C84" s="191" t="str">
        <f>'OKR '!E156</f>
        <v>Ponto de Referência municipal em Saúde Digital, Grupo de trabalho, NSDIGI, Regional e Cosems</v>
      </c>
      <c r="D84" s="192"/>
      <c r="E84" s="193">
        <f>'OKR '!G156</f>
        <v>46055</v>
      </c>
      <c r="F84" s="193">
        <f>'OKR '!H156</f>
        <v>46203</v>
      </c>
      <c r="G84" s="14"/>
      <c r="H84" s="14">
        <f t="shared" ca="1" si="332"/>
        <v>149</v>
      </c>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c r="EG84" s="31"/>
      <c r="EH84" s="31"/>
      <c r="EI84" s="31"/>
      <c r="EJ84" s="31"/>
      <c r="EK84" s="31"/>
      <c r="EL84" s="31"/>
      <c r="EM84" s="31"/>
      <c r="EN84" s="31"/>
      <c r="EO84" s="31"/>
      <c r="EP84" s="31"/>
      <c r="EQ84" s="31"/>
      <c r="ER84" s="31"/>
      <c r="ES84" s="31"/>
      <c r="ET84" s="31"/>
      <c r="EU84" s="31"/>
      <c r="EV84" s="31"/>
      <c r="EW84" s="31"/>
      <c r="EX84" s="31"/>
      <c r="EY84" s="31"/>
      <c r="EZ84" s="31"/>
      <c r="FA84" s="31"/>
      <c r="FB84" s="31"/>
      <c r="FC84" s="31"/>
      <c r="FD84" s="31"/>
      <c r="FE84" s="31"/>
      <c r="FF84" s="31"/>
      <c r="FG84" s="31"/>
      <c r="FH84" s="31"/>
      <c r="FI84" s="31"/>
      <c r="FJ84" s="31"/>
      <c r="FK84" s="31"/>
      <c r="FL84" s="31"/>
      <c r="FM84" s="31"/>
      <c r="FN84" s="31"/>
      <c r="FO84" s="31"/>
      <c r="FP84" s="31"/>
      <c r="FQ84" s="31"/>
      <c r="FR84" s="31"/>
      <c r="FS84" s="31"/>
      <c r="FT84" s="31"/>
      <c r="FU84" s="31"/>
      <c r="FV84" s="31"/>
      <c r="FW84" s="31"/>
      <c r="FX84" s="31"/>
      <c r="FY84" s="31"/>
      <c r="FZ84" s="31"/>
      <c r="GA84" s="31"/>
      <c r="GB84" s="31"/>
      <c r="GC84" s="31"/>
      <c r="GD84" s="31"/>
      <c r="GE84" s="31"/>
      <c r="GF84" s="31"/>
      <c r="GG84" s="31"/>
      <c r="GH84" s="31"/>
      <c r="GI84" s="31"/>
      <c r="GJ84" s="31"/>
      <c r="GK84" s="31"/>
      <c r="GL84" s="31"/>
      <c r="GM84" s="31"/>
      <c r="GN84" s="31"/>
      <c r="GO84" s="31"/>
      <c r="GP84" s="31"/>
      <c r="GQ84" s="31"/>
      <c r="GR84" s="31"/>
      <c r="GS84" s="31"/>
      <c r="GT84" s="31"/>
      <c r="GU84" s="31"/>
      <c r="GV84" s="31"/>
      <c r="GW84" s="31"/>
      <c r="GX84" s="31"/>
      <c r="GY84" s="31"/>
      <c r="GZ84" s="31"/>
      <c r="HA84" s="31"/>
      <c r="HB84" s="31"/>
      <c r="HC84" s="31"/>
      <c r="HD84" s="31"/>
      <c r="HE84" s="31"/>
      <c r="HF84" s="31"/>
      <c r="HG84" s="31"/>
      <c r="HH84" s="31"/>
      <c r="HI84" s="31"/>
      <c r="HJ84" s="31"/>
      <c r="HK84" s="31"/>
      <c r="HL84" s="31"/>
      <c r="HM84" s="31"/>
      <c r="HN84" s="31"/>
      <c r="HO84" s="31"/>
      <c r="HP84" s="31"/>
      <c r="HQ84" s="31"/>
      <c r="HR84" s="31"/>
      <c r="HS84" s="31"/>
      <c r="HT84" s="31"/>
      <c r="HU84" s="31"/>
      <c r="HV84" s="31"/>
      <c r="HW84" s="31"/>
      <c r="HX84" s="31"/>
      <c r="HY84" s="31"/>
      <c r="HZ84" s="31"/>
      <c r="IA84" s="31"/>
      <c r="IB84" s="31"/>
      <c r="IC84" s="31"/>
      <c r="ID84" s="31"/>
      <c r="IE84" s="31"/>
      <c r="IF84" s="31"/>
      <c r="IG84" s="31"/>
      <c r="IH84" s="31"/>
      <c r="II84" s="31"/>
      <c r="IJ84" s="31"/>
      <c r="IK84" s="31"/>
      <c r="IL84" s="31"/>
      <c r="IM84" s="31"/>
      <c r="IN84" s="31"/>
      <c r="IO84" s="31"/>
      <c r="IP84" s="31"/>
      <c r="IQ84" s="31"/>
      <c r="IR84" s="31"/>
      <c r="IS84" s="31"/>
      <c r="IT84" s="31"/>
      <c r="IU84" s="31"/>
      <c r="IV84" s="31"/>
      <c r="IW84" s="31"/>
      <c r="IX84" s="31"/>
      <c r="IY84" s="31"/>
      <c r="IZ84" s="31"/>
      <c r="JA84" s="31"/>
      <c r="JB84" s="31"/>
      <c r="JC84" s="31"/>
      <c r="JD84" s="31"/>
      <c r="JE84" s="31"/>
      <c r="JF84" s="31"/>
      <c r="JG84" s="31"/>
      <c r="JH84" s="31"/>
      <c r="JI84" s="31"/>
      <c r="JJ84" s="31"/>
      <c r="JK84" s="31"/>
      <c r="JL84" s="31"/>
      <c r="JM84" s="31"/>
      <c r="JN84" s="31"/>
      <c r="JO84" s="31"/>
      <c r="JP84" s="31"/>
      <c r="JQ84" s="31"/>
      <c r="JR84" s="31"/>
      <c r="JS84" s="31"/>
      <c r="JT84" s="31"/>
      <c r="JU84" s="31"/>
      <c r="JV84" s="31"/>
      <c r="JW84" s="31"/>
      <c r="JX84" s="31"/>
      <c r="JY84" s="31"/>
      <c r="JZ84" s="31"/>
      <c r="KA84" s="31"/>
      <c r="KB84" s="31"/>
      <c r="KC84" s="31"/>
      <c r="KD84" s="31"/>
      <c r="KE84" s="31"/>
      <c r="KF84" s="31"/>
      <c r="KG84" s="31"/>
      <c r="KH84" s="31"/>
      <c r="KI84" s="31"/>
      <c r="KJ84" s="31"/>
      <c r="KK84" s="31"/>
      <c r="KL84" s="31"/>
      <c r="KM84" s="31"/>
      <c r="KN84" s="31"/>
      <c r="KO84" s="31"/>
      <c r="KP84" s="31"/>
      <c r="KQ84" s="31"/>
      <c r="KR84" s="31"/>
      <c r="KS84" s="31"/>
      <c r="KT84" s="31"/>
      <c r="KU84" s="31"/>
      <c r="KV84" s="31"/>
      <c r="KW84" s="31"/>
      <c r="KX84" s="31"/>
      <c r="KY84" s="31"/>
      <c r="KZ84" s="31"/>
      <c r="LA84" s="31"/>
      <c r="LB84" s="31"/>
      <c r="LC84" s="31"/>
      <c r="LD84" s="31"/>
      <c r="LE84" s="31"/>
      <c r="LF84" s="31"/>
      <c r="LG84" s="31"/>
      <c r="LH84" s="31"/>
      <c r="LI84" s="31"/>
      <c r="LJ84" s="31"/>
      <c r="LK84" s="31"/>
      <c r="LL84" s="31"/>
      <c r="LM84" s="31"/>
      <c r="LN84" s="31"/>
      <c r="LO84" s="31"/>
      <c r="LP84" s="31"/>
      <c r="LQ84" s="31"/>
      <c r="LR84" s="31"/>
      <c r="LS84" s="31"/>
      <c r="LT84" s="31"/>
      <c r="LU84" s="31"/>
      <c r="LV84" s="31"/>
      <c r="LW84" s="31"/>
      <c r="LX84" s="31"/>
      <c r="LY84" s="31"/>
      <c r="LZ84" s="31"/>
      <c r="MA84" s="31"/>
      <c r="MB84" s="31"/>
      <c r="MC84" s="31"/>
      <c r="MD84" s="31"/>
      <c r="ME84" s="31"/>
      <c r="MF84" s="31"/>
    </row>
    <row r="85" spans="1:344" ht="38.25" customHeight="1">
      <c r="A85" s="46" t="s">
        <v>168</v>
      </c>
      <c r="B85" s="191" t="str">
        <f>'OKR '!D157</f>
        <v>Classificar os sistemas por criticidade e função</v>
      </c>
      <c r="C85" s="191" t="str">
        <f>'OKR '!E157</f>
        <v>Grupo de trabalho</v>
      </c>
      <c r="D85" s="192"/>
      <c r="E85" s="193">
        <f>'OKR '!G157</f>
        <v>46055</v>
      </c>
      <c r="F85" s="193">
        <f>'OKR '!H157</f>
        <v>46203</v>
      </c>
      <c r="G85" s="14"/>
      <c r="H85" s="14">
        <f t="shared" ca="1" si="332"/>
        <v>149</v>
      </c>
      <c r="I85" s="31"/>
      <c r="J85" s="31"/>
      <c r="K85" s="31"/>
      <c r="L85" s="31"/>
      <c r="M85" s="31"/>
      <c r="N85" s="31"/>
      <c r="O85" s="31"/>
      <c r="P85" s="31"/>
      <c r="Q85" s="31"/>
      <c r="R85" s="31"/>
      <c r="S85" s="31"/>
      <c r="T85" s="31"/>
      <c r="U85" s="32"/>
      <c r="V85" s="32"/>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c r="EG85" s="31"/>
      <c r="EH85" s="31"/>
      <c r="EI85" s="31"/>
      <c r="EJ85" s="31"/>
      <c r="EK85" s="31"/>
      <c r="EL85" s="31"/>
      <c r="EM85" s="31"/>
      <c r="EN85" s="31"/>
      <c r="EO85" s="31"/>
      <c r="EP85" s="31"/>
      <c r="EQ85" s="31"/>
      <c r="ER85" s="31"/>
      <c r="ES85" s="31"/>
      <c r="ET85" s="31"/>
      <c r="EU85" s="31"/>
      <c r="EV85" s="31"/>
      <c r="EW85" s="31"/>
      <c r="EX85" s="31"/>
      <c r="EY85" s="31"/>
      <c r="EZ85" s="31"/>
      <c r="FA85" s="31"/>
      <c r="FB85" s="31"/>
      <c r="FC85" s="31"/>
      <c r="FD85" s="31"/>
      <c r="FE85" s="31"/>
      <c r="FF85" s="31"/>
      <c r="FG85" s="31"/>
      <c r="FH85" s="31"/>
      <c r="FI85" s="31"/>
      <c r="FJ85" s="31"/>
      <c r="FK85" s="31"/>
      <c r="FL85" s="31"/>
      <c r="FM85" s="31"/>
      <c r="FN85" s="31"/>
      <c r="FO85" s="31"/>
      <c r="FP85" s="31"/>
      <c r="FQ85" s="31"/>
      <c r="FR85" s="31"/>
      <c r="FS85" s="31"/>
      <c r="FT85" s="31"/>
      <c r="FU85" s="31"/>
      <c r="FV85" s="31"/>
      <c r="FW85" s="31"/>
      <c r="FX85" s="31"/>
      <c r="FY85" s="31"/>
      <c r="FZ85" s="31"/>
      <c r="GA85" s="31"/>
      <c r="GB85" s="31"/>
      <c r="GC85" s="31"/>
      <c r="GD85" s="31"/>
      <c r="GE85" s="31"/>
      <c r="GF85" s="31"/>
      <c r="GG85" s="31"/>
      <c r="GH85" s="31"/>
      <c r="GI85" s="31"/>
      <c r="GJ85" s="31"/>
      <c r="GK85" s="31"/>
      <c r="GL85" s="31"/>
      <c r="GM85" s="31"/>
      <c r="GN85" s="31"/>
      <c r="GO85" s="31"/>
      <c r="GP85" s="31"/>
      <c r="GQ85" s="31"/>
      <c r="GR85" s="31"/>
      <c r="GS85" s="31"/>
      <c r="GT85" s="31"/>
      <c r="GU85" s="31"/>
      <c r="GV85" s="31"/>
      <c r="GW85" s="31"/>
      <c r="GX85" s="31"/>
      <c r="GY85" s="31"/>
      <c r="GZ85" s="31"/>
      <c r="HA85" s="31"/>
      <c r="HB85" s="31"/>
      <c r="HC85" s="31"/>
      <c r="HD85" s="31"/>
      <c r="HE85" s="31"/>
      <c r="HF85" s="31"/>
      <c r="HG85" s="31"/>
      <c r="HH85" s="31"/>
      <c r="HI85" s="31"/>
      <c r="HJ85" s="31"/>
      <c r="HK85" s="31"/>
      <c r="HL85" s="31"/>
      <c r="HM85" s="31"/>
      <c r="HN85" s="31"/>
      <c r="HO85" s="31"/>
      <c r="HP85" s="31"/>
      <c r="HQ85" s="31"/>
      <c r="HR85" s="31"/>
      <c r="HS85" s="31"/>
      <c r="HT85" s="31"/>
      <c r="HU85" s="31"/>
      <c r="HV85" s="31"/>
      <c r="HW85" s="31"/>
      <c r="HX85" s="31"/>
      <c r="HY85" s="31"/>
      <c r="HZ85" s="31"/>
      <c r="IA85" s="31"/>
      <c r="IB85" s="31"/>
      <c r="IC85" s="31"/>
      <c r="ID85" s="31"/>
      <c r="IE85" s="31"/>
      <c r="IF85" s="31"/>
      <c r="IG85" s="31"/>
      <c r="IH85" s="31"/>
      <c r="II85" s="31"/>
      <c r="IJ85" s="31"/>
      <c r="IK85" s="31"/>
      <c r="IL85" s="31"/>
      <c r="IM85" s="31"/>
      <c r="IN85" s="31"/>
      <c r="IO85" s="31"/>
      <c r="IP85" s="31"/>
      <c r="IQ85" s="31"/>
      <c r="IR85" s="31"/>
      <c r="IS85" s="31"/>
      <c r="IT85" s="31"/>
      <c r="IU85" s="31"/>
      <c r="IV85" s="31"/>
      <c r="IW85" s="31"/>
      <c r="IX85" s="31"/>
      <c r="IY85" s="31"/>
      <c r="IZ85" s="31"/>
      <c r="JA85" s="31"/>
      <c r="JB85" s="31"/>
      <c r="JC85" s="31"/>
      <c r="JD85" s="31"/>
      <c r="JE85" s="31"/>
      <c r="JF85" s="31"/>
      <c r="JG85" s="31"/>
      <c r="JH85" s="31"/>
      <c r="JI85" s="31"/>
      <c r="JJ85" s="31"/>
      <c r="JK85" s="31"/>
      <c r="JL85" s="31"/>
      <c r="JM85" s="31"/>
      <c r="JN85" s="31"/>
      <c r="JO85" s="31"/>
      <c r="JP85" s="31"/>
      <c r="JQ85" s="31"/>
      <c r="JR85" s="31"/>
      <c r="JS85" s="31"/>
      <c r="JT85" s="31"/>
      <c r="JU85" s="31"/>
      <c r="JV85" s="31"/>
      <c r="JW85" s="31"/>
      <c r="JX85" s="31"/>
      <c r="JY85" s="31"/>
      <c r="JZ85" s="31"/>
      <c r="KA85" s="31"/>
      <c r="KB85" s="31"/>
      <c r="KC85" s="31"/>
      <c r="KD85" s="31"/>
      <c r="KE85" s="31"/>
      <c r="KF85" s="31"/>
      <c r="KG85" s="31"/>
      <c r="KH85" s="31"/>
      <c r="KI85" s="31"/>
      <c r="KJ85" s="31"/>
      <c r="KK85" s="31"/>
      <c r="KL85" s="31"/>
      <c r="KM85" s="31"/>
      <c r="KN85" s="31"/>
      <c r="KO85" s="31"/>
      <c r="KP85" s="31"/>
      <c r="KQ85" s="31"/>
      <c r="KR85" s="31"/>
      <c r="KS85" s="31"/>
      <c r="KT85" s="31"/>
      <c r="KU85" s="31"/>
      <c r="KV85" s="31"/>
      <c r="KW85" s="31"/>
      <c r="KX85" s="31"/>
      <c r="KY85" s="31"/>
      <c r="KZ85" s="31"/>
      <c r="LA85" s="31"/>
      <c r="LB85" s="31"/>
      <c r="LC85" s="31"/>
      <c r="LD85" s="31"/>
      <c r="LE85" s="31"/>
      <c r="LF85" s="31"/>
      <c r="LG85" s="31"/>
      <c r="LH85" s="31"/>
      <c r="LI85" s="31"/>
      <c r="LJ85" s="31"/>
      <c r="LK85" s="31"/>
      <c r="LL85" s="31"/>
      <c r="LM85" s="31"/>
      <c r="LN85" s="31"/>
      <c r="LO85" s="31"/>
      <c r="LP85" s="31"/>
      <c r="LQ85" s="31"/>
      <c r="LR85" s="31"/>
      <c r="LS85" s="31"/>
      <c r="LT85" s="31"/>
      <c r="LU85" s="31"/>
      <c r="LV85" s="31"/>
      <c r="LW85" s="31"/>
      <c r="LX85" s="31"/>
      <c r="LY85" s="31"/>
      <c r="LZ85" s="31"/>
      <c r="MA85" s="31"/>
      <c r="MB85" s="31"/>
      <c r="MC85" s="31"/>
      <c r="MD85" s="31"/>
      <c r="ME85" s="31"/>
      <c r="MF85" s="31"/>
    </row>
    <row r="86" spans="1:344" ht="38.25" customHeight="1">
      <c r="A86" s="46"/>
      <c r="B86" s="191" t="str">
        <f>'OKR '!D158</f>
        <v>Identificar sistemas essenciais para continuidade do cuidado</v>
      </c>
      <c r="C86" s="191" t="str">
        <f>'OKR '!E158</f>
        <v>Grupo de trabalho</v>
      </c>
      <c r="D86" s="192"/>
      <c r="E86" s="193">
        <f>'OKR '!G158</f>
        <v>46055</v>
      </c>
      <c r="F86" s="193">
        <f>'OKR '!H158</f>
        <v>46203</v>
      </c>
      <c r="G86" s="14"/>
      <c r="H86" s="14"/>
      <c r="I86" s="31"/>
      <c r="J86" s="31"/>
      <c r="K86" s="31"/>
      <c r="L86" s="31"/>
      <c r="M86" s="31"/>
      <c r="N86" s="31"/>
      <c r="O86" s="31"/>
      <c r="P86" s="31"/>
      <c r="Q86" s="31"/>
      <c r="R86" s="31"/>
      <c r="S86" s="31"/>
      <c r="T86" s="31"/>
      <c r="U86" s="32"/>
      <c r="V86" s="32"/>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c r="EG86" s="31"/>
      <c r="EH86" s="31"/>
      <c r="EI86" s="31"/>
      <c r="EJ86" s="31"/>
      <c r="EK86" s="31"/>
      <c r="EL86" s="31"/>
      <c r="EM86" s="31"/>
      <c r="EN86" s="31"/>
      <c r="EO86" s="31"/>
      <c r="EP86" s="31"/>
      <c r="EQ86" s="31"/>
      <c r="ER86" s="31"/>
      <c r="ES86" s="31"/>
      <c r="ET86" s="31"/>
      <c r="EU86" s="31"/>
      <c r="EV86" s="31"/>
      <c r="EW86" s="31"/>
      <c r="EX86" s="31"/>
      <c r="EY86" s="31"/>
      <c r="EZ86" s="31"/>
      <c r="FA86" s="31"/>
      <c r="FB86" s="31"/>
      <c r="FC86" s="31"/>
      <c r="FD86" s="31"/>
      <c r="FE86" s="31"/>
      <c r="FF86" s="31"/>
      <c r="FG86" s="31"/>
      <c r="FH86" s="31"/>
      <c r="FI86" s="31"/>
      <c r="FJ86" s="31"/>
      <c r="FK86" s="31"/>
      <c r="FL86" s="31"/>
      <c r="FM86" s="31"/>
      <c r="FN86" s="31"/>
      <c r="FO86" s="31"/>
      <c r="FP86" s="31"/>
      <c r="FQ86" s="31"/>
      <c r="FR86" s="31"/>
      <c r="FS86" s="31"/>
      <c r="FT86" s="31"/>
      <c r="FU86" s="31"/>
      <c r="FV86" s="31"/>
      <c r="FW86" s="31"/>
      <c r="FX86" s="31"/>
      <c r="FY86" s="31"/>
      <c r="FZ86" s="31"/>
      <c r="GA86" s="31"/>
      <c r="GB86" s="31"/>
      <c r="GC86" s="31"/>
      <c r="GD86" s="31"/>
      <c r="GE86" s="31"/>
      <c r="GF86" s="31"/>
      <c r="GG86" s="31"/>
      <c r="GH86" s="31"/>
      <c r="GI86" s="31"/>
      <c r="GJ86" s="31"/>
      <c r="GK86" s="31"/>
      <c r="GL86" s="31"/>
      <c r="GM86" s="31"/>
      <c r="GN86" s="31"/>
      <c r="GO86" s="31"/>
      <c r="GP86" s="31"/>
      <c r="GQ86" s="31"/>
      <c r="GR86" s="31"/>
      <c r="GS86" s="31"/>
      <c r="GT86" s="31"/>
      <c r="GU86" s="31"/>
      <c r="GV86" s="31"/>
      <c r="GW86" s="31"/>
      <c r="GX86" s="31"/>
      <c r="GY86" s="31"/>
      <c r="GZ86" s="31"/>
      <c r="HA86" s="31"/>
      <c r="HB86" s="31"/>
      <c r="HC86" s="31"/>
      <c r="HD86" s="31"/>
      <c r="HE86" s="31"/>
      <c r="HF86" s="31"/>
      <c r="HG86" s="31"/>
      <c r="HH86" s="31"/>
      <c r="HI86" s="31"/>
      <c r="HJ86" s="31"/>
      <c r="HK86" s="31"/>
      <c r="HL86" s="31"/>
      <c r="HM86" s="31"/>
      <c r="HN86" s="31"/>
      <c r="HO86" s="31"/>
      <c r="HP86" s="31"/>
      <c r="HQ86" s="31"/>
      <c r="HR86" s="31"/>
      <c r="HS86" s="31"/>
      <c r="HT86" s="31"/>
      <c r="HU86" s="31"/>
      <c r="HV86" s="31"/>
      <c r="HW86" s="31"/>
      <c r="HX86" s="31"/>
      <c r="HY86" s="31"/>
      <c r="HZ86" s="31"/>
      <c r="IA86" s="31"/>
      <c r="IB86" s="31"/>
      <c r="IC86" s="31"/>
      <c r="ID86" s="31"/>
      <c r="IE86" s="31"/>
      <c r="IF86" s="31"/>
      <c r="IG86" s="31"/>
      <c r="IH86" s="31"/>
      <c r="II86" s="31"/>
      <c r="IJ86" s="31"/>
      <c r="IK86" s="31"/>
      <c r="IL86" s="31"/>
      <c r="IM86" s="31"/>
      <c r="IN86" s="31"/>
      <c r="IO86" s="31"/>
      <c r="IP86" s="31"/>
      <c r="IQ86" s="31"/>
      <c r="IR86" s="31"/>
      <c r="IS86" s="31"/>
      <c r="IT86" s="31"/>
      <c r="IU86" s="31"/>
      <c r="IV86" s="31"/>
      <c r="IW86" s="31"/>
      <c r="IX86" s="31"/>
      <c r="IY86" s="31"/>
      <c r="IZ86" s="31"/>
      <c r="JA86" s="31"/>
      <c r="JB86" s="31"/>
      <c r="JC86" s="31"/>
      <c r="JD86" s="31"/>
      <c r="JE86" s="31"/>
      <c r="JF86" s="31"/>
      <c r="JG86" s="31"/>
      <c r="JH86" s="31"/>
      <c r="JI86" s="31"/>
      <c r="JJ86" s="31"/>
      <c r="JK86" s="31"/>
      <c r="JL86" s="31"/>
      <c r="JM86" s="31"/>
      <c r="JN86" s="31"/>
      <c r="JO86" s="31"/>
      <c r="JP86" s="31"/>
      <c r="JQ86" s="31"/>
      <c r="JR86" s="31"/>
      <c r="JS86" s="31"/>
      <c r="JT86" s="31"/>
      <c r="JU86" s="31"/>
      <c r="JV86" s="31"/>
      <c r="JW86" s="31"/>
      <c r="JX86" s="31"/>
      <c r="JY86" s="31"/>
      <c r="JZ86" s="31"/>
      <c r="KA86" s="31"/>
      <c r="KB86" s="31"/>
      <c r="KC86" s="31"/>
      <c r="KD86" s="31"/>
      <c r="KE86" s="31"/>
      <c r="KF86" s="31"/>
      <c r="KG86" s="31"/>
      <c r="KH86" s="31"/>
      <c r="KI86" s="31"/>
      <c r="KJ86" s="31"/>
      <c r="KK86" s="31"/>
      <c r="KL86" s="31"/>
      <c r="KM86" s="31"/>
      <c r="KN86" s="31"/>
      <c r="KO86" s="31"/>
      <c r="KP86" s="31"/>
      <c r="KQ86" s="31"/>
      <c r="KR86" s="31"/>
      <c r="KS86" s="31"/>
      <c r="KT86" s="31"/>
      <c r="KU86" s="31"/>
      <c r="KV86" s="31"/>
      <c r="KW86" s="31"/>
      <c r="KX86" s="31"/>
      <c r="KY86" s="31"/>
      <c r="KZ86" s="31"/>
      <c r="LA86" s="31"/>
      <c r="LB86" s="31"/>
      <c r="LC86" s="31"/>
      <c r="LD86" s="31"/>
      <c r="LE86" s="31"/>
      <c r="LF86" s="31"/>
      <c r="LG86" s="31"/>
      <c r="LH86" s="31"/>
      <c r="LI86" s="31"/>
      <c r="LJ86" s="31"/>
      <c r="LK86" s="31"/>
      <c r="LL86" s="31"/>
      <c r="LM86" s="31"/>
      <c r="LN86" s="31"/>
      <c r="LO86" s="31"/>
      <c r="LP86" s="31"/>
      <c r="LQ86" s="31"/>
      <c r="LR86" s="31"/>
      <c r="LS86" s="31"/>
      <c r="LT86" s="31"/>
      <c r="LU86" s="31"/>
      <c r="LV86" s="31"/>
      <c r="LW86" s="31"/>
      <c r="LX86" s="31"/>
      <c r="LY86" s="31"/>
      <c r="LZ86" s="31"/>
      <c r="MA86" s="31"/>
      <c r="MB86" s="31"/>
      <c r="MC86" s="31"/>
      <c r="MD86" s="31"/>
      <c r="ME86" s="31"/>
      <c r="MF86" s="31"/>
    </row>
    <row r="87" spans="1:344" ht="38.25" customHeight="1">
      <c r="A87" s="46"/>
      <c r="B87" s="191" t="str">
        <f>'OKR '!D159</f>
        <v>Diferenciar sistemas estruturantes de sistemas acessórios</v>
      </c>
      <c r="C87" s="191" t="str">
        <f>'OKR '!E159</f>
        <v>Grupo de trabalho</v>
      </c>
      <c r="D87" s="192"/>
      <c r="E87" s="193">
        <f>'OKR '!G159</f>
        <v>46055</v>
      </c>
      <c r="F87" s="193">
        <f>'OKR '!H159</f>
        <v>46203</v>
      </c>
      <c r="G87" s="14"/>
      <c r="H87" s="14"/>
      <c r="I87" s="31"/>
      <c r="J87" s="31"/>
      <c r="K87" s="31"/>
      <c r="L87" s="31"/>
      <c r="M87" s="31"/>
      <c r="N87" s="31"/>
      <c r="O87" s="31"/>
      <c r="P87" s="31"/>
      <c r="Q87" s="31"/>
      <c r="R87" s="31"/>
      <c r="S87" s="31"/>
      <c r="T87" s="31"/>
      <c r="U87" s="32"/>
      <c r="V87" s="32"/>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c r="EG87" s="31"/>
      <c r="EH87" s="31"/>
      <c r="EI87" s="31"/>
      <c r="EJ87" s="31"/>
      <c r="EK87" s="31"/>
      <c r="EL87" s="31"/>
      <c r="EM87" s="31"/>
      <c r="EN87" s="31"/>
      <c r="EO87" s="31"/>
      <c r="EP87" s="31"/>
      <c r="EQ87" s="31"/>
      <c r="ER87" s="31"/>
      <c r="ES87" s="31"/>
      <c r="ET87" s="31"/>
      <c r="EU87" s="31"/>
      <c r="EV87" s="31"/>
      <c r="EW87" s="31"/>
      <c r="EX87" s="31"/>
      <c r="EY87" s="31"/>
      <c r="EZ87" s="31"/>
      <c r="FA87" s="31"/>
      <c r="FB87" s="31"/>
      <c r="FC87" s="31"/>
      <c r="FD87" s="31"/>
      <c r="FE87" s="31"/>
      <c r="FF87" s="31"/>
      <c r="FG87" s="31"/>
      <c r="FH87" s="31"/>
      <c r="FI87" s="31"/>
      <c r="FJ87" s="31"/>
      <c r="FK87" s="31"/>
      <c r="FL87" s="31"/>
      <c r="FM87" s="31"/>
      <c r="FN87" s="31"/>
      <c r="FO87" s="31"/>
      <c r="FP87" s="31"/>
      <c r="FQ87" s="31"/>
      <c r="FR87" s="31"/>
      <c r="FS87" s="31"/>
      <c r="FT87" s="31"/>
      <c r="FU87" s="31"/>
      <c r="FV87" s="31"/>
      <c r="FW87" s="31"/>
      <c r="FX87" s="31"/>
      <c r="FY87" s="31"/>
      <c r="FZ87" s="31"/>
      <c r="GA87" s="31"/>
      <c r="GB87" s="31"/>
      <c r="GC87" s="31"/>
      <c r="GD87" s="31"/>
      <c r="GE87" s="31"/>
      <c r="GF87" s="31"/>
      <c r="GG87" s="31"/>
      <c r="GH87" s="31"/>
      <c r="GI87" s="31"/>
      <c r="GJ87" s="31"/>
      <c r="GK87" s="31"/>
      <c r="GL87" s="31"/>
      <c r="GM87" s="31"/>
      <c r="GN87" s="31"/>
      <c r="GO87" s="31"/>
      <c r="GP87" s="31"/>
      <c r="GQ87" s="31"/>
      <c r="GR87" s="31"/>
      <c r="GS87" s="31"/>
      <c r="GT87" s="31"/>
      <c r="GU87" s="31"/>
      <c r="GV87" s="31"/>
      <c r="GW87" s="31"/>
      <c r="GX87" s="31"/>
      <c r="GY87" s="31"/>
      <c r="GZ87" s="31"/>
      <c r="HA87" s="31"/>
      <c r="HB87" s="31"/>
      <c r="HC87" s="31"/>
      <c r="HD87" s="31"/>
      <c r="HE87" s="31"/>
      <c r="HF87" s="31"/>
      <c r="HG87" s="31"/>
      <c r="HH87" s="31"/>
      <c r="HI87" s="31"/>
      <c r="HJ87" s="31"/>
      <c r="HK87" s="31"/>
      <c r="HL87" s="31"/>
      <c r="HM87" s="31"/>
      <c r="HN87" s="31"/>
      <c r="HO87" s="31"/>
      <c r="HP87" s="31"/>
      <c r="HQ87" s="31"/>
      <c r="HR87" s="31"/>
      <c r="HS87" s="31"/>
      <c r="HT87" s="31"/>
      <c r="HU87" s="31"/>
      <c r="HV87" s="31"/>
      <c r="HW87" s="31"/>
      <c r="HX87" s="31"/>
      <c r="HY87" s="31"/>
      <c r="HZ87" s="31"/>
      <c r="IA87" s="31"/>
      <c r="IB87" s="31"/>
      <c r="IC87" s="31"/>
      <c r="ID87" s="31"/>
      <c r="IE87" s="31"/>
      <c r="IF87" s="31"/>
      <c r="IG87" s="31"/>
      <c r="IH87" s="31"/>
      <c r="II87" s="31"/>
      <c r="IJ87" s="31"/>
      <c r="IK87" s="31"/>
      <c r="IL87" s="31"/>
      <c r="IM87" s="31"/>
      <c r="IN87" s="31"/>
      <c r="IO87" s="31"/>
      <c r="IP87" s="31"/>
      <c r="IQ87" s="31"/>
      <c r="IR87" s="31"/>
      <c r="IS87" s="31"/>
      <c r="IT87" s="31"/>
      <c r="IU87" s="31"/>
      <c r="IV87" s="31"/>
      <c r="IW87" s="31"/>
      <c r="IX87" s="31"/>
      <c r="IY87" s="31"/>
      <c r="IZ87" s="31"/>
      <c r="JA87" s="31"/>
      <c r="JB87" s="31"/>
      <c r="JC87" s="31"/>
      <c r="JD87" s="31"/>
      <c r="JE87" s="31"/>
      <c r="JF87" s="31"/>
      <c r="JG87" s="31"/>
      <c r="JH87" s="31"/>
      <c r="JI87" s="31"/>
      <c r="JJ87" s="31"/>
      <c r="JK87" s="31"/>
      <c r="JL87" s="31"/>
      <c r="JM87" s="31"/>
      <c r="JN87" s="31"/>
      <c r="JO87" s="31"/>
      <c r="JP87" s="31"/>
      <c r="JQ87" s="31"/>
      <c r="JR87" s="31"/>
      <c r="JS87" s="31"/>
      <c r="JT87" s="31"/>
      <c r="JU87" s="31"/>
      <c r="JV87" s="31"/>
      <c r="JW87" s="31"/>
      <c r="JX87" s="31"/>
      <c r="JY87" s="31"/>
      <c r="JZ87" s="31"/>
      <c r="KA87" s="31"/>
      <c r="KB87" s="31"/>
      <c r="KC87" s="31"/>
      <c r="KD87" s="31"/>
      <c r="KE87" s="31"/>
      <c r="KF87" s="31"/>
      <c r="KG87" s="31"/>
      <c r="KH87" s="31"/>
      <c r="KI87" s="31"/>
      <c r="KJ87" s="31"/>
      <c r="KK87" s="31"/>
      <c r="KL87" s="31"/>
      <c r="KM87" s="31"/>
      <c r="KN87" s="31"/>
      <c r="KO87" s="31"/>
      <c r="KP87" s="31"/>
      <c r="KQ87" s="31"/>
      <c r="KR87" s="31"/>
      <c r="KS87" s="31"/>
      <c r="KT87" s="31"/>
      <c r="KU87" s="31"/>
      <c r="KV87" s="31"/>
      <c r="KW87" s="31"/>
      <c r="KX87" s="31"/>
      <c r="KY87" s="31"/>
      <c r="KZ87" s="31"/>
      <c r="LA87" s="31"/>
      <c r="LB87" s="31"/>
      <c r="LC87" s="31"/>
      <c r="LD87" s="31"/>
      <c r="LE87" s="31"/>
      <c r="LF87" s="31"/>
      <c r="LG87" s="31"/>
      <c r="LH87" s="31"/>
      <c r="LI87" s="31"/>
      <c r="LJ87" s="31"/>
      <c r="LK87" s="31"/>
      <c r="LL87" s="31"/>
      <c r="LM87" s="31"/>
      <c r="LN87" s="31"/>
      <c r="LO87" s="31"/>
      <c r="LP87" s="31"/>
      <c r="LQ87" s="31"/>
      <c r="LR87" s="31"/>
      <c r="LS87" s="31"/>
      <c r="LT87" s="31"/>
      <c r="LU87" s="31"/>
      <c r="LV87" s="31"/>
      <c r="LW87" s="31"/>
      <c r="LX87" s="31"/>
      <c r="LY87" s="31"/>
      <c r="LZ87" s="31"/>
      <c r="MA87" s="31"/>
      <c r="MB87" s="31"/>
      <c r="MC87" s="31"/>
      <c r="MD87" s="31"/>
      <c r="ME87" s="31"/>
      <c r="MF87" s="31"/>
    </row>
    <row r="88" spans="1:344" ht="38.25" customHeight="1">
      <c r="A88" s="46"/>
      <c r="B88" s="191" t="str">
        <f>'OKR '!D160</f>
        <v>Identificar lacunas e necessidades relacionadas à integração</v>
      </c>
      <c r="C88" s="191" t="str">
        <f>'OKR '!E160</f>
        <v>Grupo de trabalho</v>
      </c>
      <c r="D88" s="192"/>
      <c r="E88" s="193">
        <f>'OKR '!G160</f>
        <v>46204</v>
      </c>
      <c r="F88" s="193">
        <f>'OKR '!H160</f>
        <v>46326</v>
      </c>
      <c r="G88" s="14"/>
      <c r="H88" s="14"/>
      <c r="I88" s="31"/>
      <c r="J88" s="31"/>
      <c r="K88" s="31"/>
      <c r="L88" s="31"/>
      <c r="M88" s="31"/>
      <c r="N88" s="31"/>
      <c r="O88" s="31"/>
      <c r="P88" s="31"/>
      <c r="Q88" s="31"/>
      <c r="R88" s="31"/>
      <c r="S88" s="31"/>
      <c r="T88" s="31"/>
      <c r="U88" s="32"/>
      <c r="V88" s="32"/>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c r="EG88" s="31"/>
      <c r="EH88" s="31"/>
      <c r="EI88" s="31"/>
      <c r="EJ88" s="31"/>
      <c r="EK88" s="31"/>
      <c r="EL88" s="31"/>
      <c r="EM88" s="31"/>
      <c r="EN88" s="31"/>
      <c r="EO88" s="31"/>
      <c r="EP88" s="31"/>
      <c r="EQ88" s="31"/>
      <c r="ER88" s="31"/>
      <c r="ES88" s="31"/>
      <c r="ET88" s="31"/>
      <c r="EU88" s="31"/>
      <c r="EV88" s="31"/>
      <c r="EW88" s="31"/>
      <c r="EX88" s="31"/>
      <c r="EY88" s="31"/>
      <c r="EZ88" s="31"/>
      <c r="FA88" s="31"/>
      <c r="FB88" s="31"/>
      <c r="FC88" s="31"/>
      <c r="FD88" s="31"/>
      <c r="FE88" s="31"/>
      <c r="FF88" s="31"/>
      <c r="FG88" s="31"/>
      <c r="FH88" s="31"/>
      <c r="FI88" s="31"/>
      <c r="FJ88" s="31"/>
      <c r="FK88" s="31"/>
      <c r="FL88" s="31"/>
      <c r="FM88" s="31"/>
      <c r="FN88" s="31"/>
      <c r="FO88" s="31"/>
      <c r="FP88" s="31"/>
      <c r="FQ88" s="31"/>
      <c r="FR88" s="31"/>
      <c r="FS88" s="31"/>
      <c r="FT88" s="31"/>
      <c r="FU88" s="31"/>
      <c r="FV88" s="31"/>
      <c r="FW88" s="31"/>
      <c r="FX88" s="31"/>
      <c r="FY88" s="31"/>
      <c r="FZ88" s="31"/>
      <c r="GA88" s="31"/>
      <c r="GB88" s="31"/>
      <c r="GC88" s="31"/>
      <c r="GD88" s="31"/>
      <c r="GE88" s="31"/>
      <c r="GF88" s="31"/>
      <c r="GG88" s="31"/>
      <c r="GH88" s="31"/>
      <c r="GI88" s="31"/>
      <c r="GJ88" s="31"/>
      <c r="GK88" s="31"/>
      <c r="GL88" s="31"/>
      <c r="GM88" s="31"/>
      <c r="GN88" s="31"/>
      <c r="GO88" s="31"/>
      <c r="GP88" s="31"/>
      <c r="GQ88" s="31"/>
      <c r="GR88" s="31"/>
      <c r="GS88" s="31"/>
      <c r="GT88" s="31"/>
      <c r="GU88" s="31"/>
      <c r="GV88" s="31"/>
      <c r="GW88" s="31"/>
      <c r="GX88" s="31"/>
      <c r="GY88" s="31"/>
      <c r="GZ88" s="31"/>
      <c r="HA88" s="31"/>
      <c r="HB88" s="31"/>
      <c r="HC88" s="31"/>
      <c r="HD88" s="31"/>
      <c r="HE88" s="31"/>
      <c r="HF88" s="31"/>
      <c r="HG88" s="31"/>
      <c r="HH88" s="31"/>
      <c r="HI88" s="31"/>
      <c r="HJ88" s="31"/>
      <c r="HK88" s="31"/>
      <c r="HL88" s="31"/>
      <c r="HM88" s="31"/>
      <c r="HN88" s="31"/>
      <c r="HO88" s="31"/>
      <c r="HP88" s="31"/>
      <c r="HQ88" s="31"/>
      <c r="HR88" s="31"/>
      <c r="HS88" s="31"/>
      <c r="HT88" s="31"/>
      <c r="HU88" s="31"/>
      <c r="HV88" s="31"/>
      <c r="HW88" s="31"/>
      <c r="HX88" s="31"/>
      <c r="HY88" s="31"/>
      <c r="HZ88" s="31"/>
      <c r="IA88" s="31"/>
      <c r="IB88" s="31"/>
      <c r="IC88" s="31"/>
      <c r="ID88" s="31"/>
      <c r="IE88" s="31"/>
      <c r="IF88" s="31"/>
      <c r="IG88" s="31"/>
      <c r="IH88" s="31"/>
      <c r="II88" s="31"/>
      <c r="IJ88" s="31"/>
      <c r="IK88" s="31"/>
      <c r="IL88" s="31"/>
      <c r="IM88" s="31"/>
      <c r="IN88" s="31"/>
      <c r="IO88" s="31"/>
      <c r="IP88" s="31"/>
      <c r="IQ88" s="31"/>
      <c r="IR88" s="31"/>
      <c r="IS88" s="31"/>
      <c r="IT88" s="31"/>
      <c r="IU88" s="31"/>
      <c r="IV88" s="31"/>
      <c r="IW88" s="31"/>
      <c r="IX88" s="31"/>
      <c r="IY88" s="31"/>
      <c r="IZ88" s="31"/>
      <c r="JA88" s="31"/>
      <c r="JB88" s="31"/>
      <c r="JC88" s="31"/>
      <c r="JD88" s="31"/>
      <c r="JE88" s="31"/>
      <c r="JF88" s="31"/>
      <c r="JG88" s="31"/>
      <c r="JH88" s="31"/>
      <c r="JI88" s="31"/>
      <c r="JJ88" s="31"/>
      <c r="JK88" s="31"/>
      <c r="JL88" s="31"/>
      <c r="JM88" s="31"/>
      <c r="JN88" s="31"/>
      <c r="JO88" s="31"/>
      <c r="JP88" s="31"/>
      <c r="JQ88" s="31"/>
      <c r="JR88" s="31"/>
      <c r="JS88" s="31"/>
      <c r="JT88" s="31"/>
      <c r="JU88" s="31"/>
      <c r="JV88" s="31"/>
      <c r="JW88" s="31"/>
      <c r="JX88" s="31"/>
      <c r="JY88" s="31"/>
      <c r="JZ88" s="31"/>
      <c r="KA88" s="31"/>
      <c r="KB88" s="31"/>
      <c r="KC88" s="31"/>
      <c r="KD88" s="31"/>
      <c r="KE88" s="31"/>
      <c r="KF88" s="31"/>
      <c r="KG88" s="31"/>
      <c r="KH88" s="31"/>
      <c r="KI88" s="31"/>
      <c r="KJ88" s="31"/>
      <c r="KK88" s="31"/>
      <c r="KL88" s="31"/>
      <c r="KM88" s="31"/>
      <c r="KN88" s="31"/>
      <c r="KO88" s="31"/>
      <c r="KP88" s="31"/>
      <c r="KQ88" s="31"/>
      <c r="KR88" s="31"/>
      <c r="KS88" s="31"/>
      <c r="KT88" s="31"/>
      <c r="KU88" s="31"/>
      <c r="KV88" s="31"/>
      <c r="KW88" s="31"/>
      <c r="KX88" s="31"/>
      <c r="KY88" s="31"/>
      <c r="KZ88" s="31"/>
      <c r="LA88" s="31"/>
      <c r="LB88" s="31"/>
      <c r="LC88" s="31"/>
      <c r="LD88" s="31"/>
      <c r="LE88" s="31"/>
      <c r="LF88" s="31"/>
      <c r="LG88" s="31"/>
      <c r="LH88" s="31"/>
      <c r="LI88" s="31"/>
      <c r="LJ88" s="31"/>
      <c r="LK88" s="31"/>
      <c r="LL88" s="31"/>
      <c r="LM88" s="31"/>
      <c r="LN88" s="31"/>
      <c r="LO88" s="31"/>
      <c r="LP88" s="31"/>
      <c r="LQ88" s="31"/>
      <c r="LR88" s="31"/>
      <c r="LS88" s="31"/>
      <c r="LT88" s="31"/>
      <c r="LU88" s="31"/>
      <c r="LV88" s="31"/>
      <c r="LW88" s="31"/>
      <c r="LX88" s="31"/>
      <c r="LY88" s="31"/>
      <c r="LZ88" s="31"/>
      <c r="MA88" s="31"/>
      <c r="MB88" s="31"/>
      <c r="MC88" s="31"/>
      <c r="MD88" s="31"/>
      <c r="ME88" s="31"/>
      <c r="MF88" s="31"/>
    </row>
    <row r="89" spans="1:344" ht="44.25" customHeight="1">
      <c r="B89" s="191" t="str">
        <f>'OKR '!D161</f>
        <v>Identificar retrabalho, duplicidade de registro e perda de informação</v>
      </c>
      <c r="C89" s="191" t="str">
        <f>'OKR '!E161</f>
        <v>Grupo de trabalho</v>
      </c>
      <c r="D89" s="192"/>
      <c r="E89" s="193">
        <f>'OKR '!G161</f>
        <v>46204</v>
      </c>
      <c r="F89" s="193">
        <f>'OKR '!H161</f>
        <v>46326</v>
      </c>
      <c r="G89" s="14"/>
      <c r="H89" s="14">
        <f t="shared" ca="1" si="332"/>
        <v>123</v>
      </c>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c r="EG89" s="31"/>
      <c r="EH89" s="31"/>
      <c r="EI89" s="31"/>
      <c r="EJ89" s="31"/>
      <c r="EK89" s="31"/>
      <c r="EL89" s="31"/>
      <c r="EM89" s="31"/>
      <c r="EN89" s="31"/>
      <c r="EO89" s="31"/>
      <c r="EP89" s="31"/>
      <c r="EQ89" s="31"/>
      <c r="ER89" s="31"/>
      <c r="ES89" s="31"/>
      <c r="ET89" s="31"/>
      <c r="EU89" s="31"/>
      <c r="EV89" s="31"/>
      <c r="EW89" s="31"/>
      <c r="EX89" s="31"/>
      <c r="EY89" s="31"/>
      <c r="EZ89" s="31"/>
      <c r="FA89" s="31"/>
      <c r="FB89" s="31"/>
      <c r="FC89" s="31"/>
      <c r="FD89" s="31"/>
      <c r="FE89" s="31"/>
      <c r="FF89" s="31"/>
      <c r="FG89" s="31"/>
      <c r="FH89" s="31"/>
      <c r="FI89" s="31"/>
      <c r="FJ89" s="31"/>
      <c r="FK89" s="31"/>
      <c r="FL89" s="31"/>
      <c r="FM89" s="31"/>
      <c r="FN89" s="31"/>
      <c r="FO89" s="31"/>
      <c r="FP89" s="31"/>
      <c r="FQ89" s="31"/>
      <c r="FR89" s="31"/>
      <c r="FS89" s="31"/>
      <c r="FT89" s="31"/>
      <c r="FU89" s="31"/>
      <c r="FV89" s="31"/>
      <c r="FW89" s="31"/>
      <c r="FX89" s="31"/>
      <c r="FY89" s="31"/>
      <c r="FZ89" s="31"/>
      <c r="GA89" s="31"/>
      <c r="GB89" s="31"/>
      <c r="GC89" s="31"/>
      <c r="GD89" s="31"/>
      <c r="GE89" s="31"/>
      <c r="GF89" s="31"/>
      <c r="GG89" s="31"/>
      <c r="GH89" s="31"/>
      <c r="GI89" s="31"/>
      <c r="GJ89" s="31"/>
      <c r="GK89" s="31"/>
      <c r="GL89" s="31"/>
      <c r="GM89" s="31"/>
      <c r="GN89" s="31"/>
      <c r="GO89" s="31"/>
      <c r="GP89" s="31"/>
      <c r="GQ89" s="31"/>
      <c r="GR89" s="31"/>
      <c r="GS89" s="31"/>
      <c r="GT89" s="31"/>
      <c r="GU89" s="31"/>
      <c r="GV89" s="31"/>
      <c r="GW89" s="31"/>
      <c r="GX89" s="31"/>
      <c r="GY89" s="31"/>
      <c r="GZ89" s="31"/>
      <c r="HA89" s="31"/>
      <c r="HB89" s="31"/>
      <c r="HC89" s="31"/>
      <c r="HD89" s="31"/>
      <c r="HE89" s="31"/>
      <c r="HF89" s="31"/>
      <c r="HG89" s="31"/>
      <c r="HH89" s="31"/>
      <c r="HI89" s="31"/>
      <c r="HJ89" s="31"/>
      <c r="HK89" s="31"/>
      <c r="HL89" s="31"/>
      <c r="HM89" s="31"/>
      <c r="HN89" s="31"/>
      <c r="HO89" s="31"/>
      <c r="HP89" s="31"/>
      <c r="HQ89" s="31"/>
      <c r="HR89" s="31"/>
      <c r="HS89" s="31"/>
      <c r="HT89" s="31"/>
      <c r="HU89" s="31"/>
      <c r="HV89" s="31"/>
      <c r="HW89" s="31"/>
      <c r="HX89" s="31"/>
      <c r="HY89" s="31"/>
      <c r="HZ89" s="31"/>
      <c r="IA89" s="31"/>
      <c r="IB89" s="31"/>
      <c r="IC89" s="31"/>
      <c r="ID89" s="31"/>
      <c r="IE89" s="31"/>
      <c r="IF89" s="31"/>
      <c r="IG89" s="31"/>
      <c r="IH89" s="31"/>
      <c r="II89" s="31"/>
      <c r="IJ89" s="31"/>
      <c r="IK89" s="31"/>
      <c r="IL89" s="31"/>
      <c r="IM89" s="31"/>
      <c r="IN89" s="31"/>
      <c r="IO89" s="31"/>
      <c r="IP89" s="31"/>
      <c r="IQ89" s="31"/>
      <c r="IR89" s="31"/>
      <c r="IS89" s="31"/>
      <c r="IT89" s="31"/>
      <c r="IU89" s="31"/>
      <c r="IV89" s="31"/>
      <c r="IW89" s="31"/>
      <c r="IX89" s="31"/>
      <c r="IY89" s="31"/>
      <c r="IZ89" s="31"/>
      <c r="JA89" s="31"/>
      <c r="JB89" s="31"/>
      <c r="JC89" s="31"/>
      <c r="JD89" s="31"/>
      <c r="JE89" s="31"/>
      <c r="JF89" s="31"/>
      <c r="JG89" s="31"/>
      <c r="JH89" s="31"/>
      <c r="JI89" s="31"/>
      <c r="JJ89" s="31"/>
      <c r="JK89" s="31"/>
      <c r="JL89" s="31"/>
      <c r="JM89" s="31"/>
      <c r="JN89" s="31"/>
      <c r="JO89" s="31"/>
      <c r="JP89" s="31"/>
      <c r="JQ89" s="31"/>
      <c r="JR89" s="31"/>
      <c r="JS89" s="31"/>
      <c r="JT89" s="31"/>
      <c r="JU89" s="31"/>
      <c r="JV89" s="31"/>
      <c r="JW89" s="31"/>
      <c r="JX89" s="31"/>
      <c r="JY89" s="31"/>
      <c r="JZ89" s="31"/>
      <c r="KA89" s="31"/>
      <c r="KB89" s="31"/>
      <c r="KC89" s="31"/>
      <c r="KD89" s="31"/>
      <c r="KE89" s="31"/>
      <c r="KF89" s="31"/>
      <c r="KG89" s="31"/>
      <c r="KH89" s="31"/>
      <c r="KI89" s="31"/>
      <c r="KJ89" s="31"/>
      <c r="KK89" s="31"/>
      <c r="KL89" s="31"/>
      <c r="KM89" s="31"/>
      <c r="KN89" s="31"/>
      <c r="KO89" s="31"/>
      <c r="KP89" s="31"/>
      <c r="KQ89" s="31"/>
      <c r="KR89" s="31"/>
      <c r="KS89" s="31"/>
      <c r="KT89" s="31"/>
      <c r="KU89" s="31"/>
      <c r="KV89" s="31"/>
      <c r="KW89" s="31"/>
      <c r="KX89" s="31"/>
      <c r="KY89" s="31"/>
      <c r="KZ89" s="31"/>
      <c r="LA89" s="31"/>
      <c r="LB89" s="31"/>
      <c r="LC89" s="31"/>
      <c r="LD89" s="31"/>
      <c r="LE89" s="31"/>
      <c r="LF89" s="31"/>
      <c r="LG89" s="31"/>
      <c r="LH89" s="31"/>
      <c r="LI89" s="31"/>
      <c r="LJ89" s="31"/>
      <c r="LK89" s="31"/>
      <c r="LL89" s="31"/>
      <c r="LM89" s="31"/>
      <c r="LN89" s="31"/>
      <c r="LO89" s="31"/>
      <c r="LP89" s="31"/>
      <c r="LQ89" s="31"/>
      <c r="LR89" s="31"/>
      <c r="LS89" s="31"/>
      <c r="LT89" s="31"/>
      <c r="LU89" s="31"/>
      <c r="LV89" s="31"/>
      <c r="LW89" s="31"/>
      <c r="LX89" s="31"/>
      <c r="LY89" s="31"/>
      <c r="LZ89" s="31"/>
      <c r="MA89" s="31"/>
      <c r="MB89" s="31"/>
      <c r="MC89" s="31"/>
      <c r="MD89" s="31"/>
      <c r="ME89" s="31"/>
      <c r="MF89" s="31"/>
    </row>
    <row r="90" spans="1:344" ht="30" customHeight="1">
      <c r="B90" s="191" t="str">
        <f>'OKR '!D162</f>
        <v>Mapear fluxos de dados e uso da informação</v>
      </c>
      <c r="C90" s="191" t="str">
        <f>'OKR '!E162</f>
        <v>Grupo de trabalho</v>
      </c>
      <c r="D90" s="192"/>
      <c r="E90" s="193">
        <f>'OKR '!G162</f>
        <v>46204</v>
      </c>
      <c r="F90" s="193">
        <f>'OKR '!H162</f>
        <v>46326</v>
      </c>
      <c r="G90" s="14"/>
      <c r="H90" s="14">
        <f t="shared" ca="1" si="332"/>
        <v>123</v>
      </c>
      <c r="I90" s="31"/>
      <c r="J90" s="31"/>
      <c r="K90" s="31"/>
      <c r="L90" s="31"/>
      <c r="M90" s="31"/>
      <c r="N90" s="31"/>
      <c r="O90" s="31"/>
      <c r="P90" s="31"/>
      <c r="Q90" s="31"/>
      <c r="R90" s="31"/>
      <c r="S90" s="31"/>
      <c r="T90" s="31"/>
      <c r="U90" s="31"/>
      <c r="V90" s="31"/>
      <c r="W90" s="31"/>
      <c r="X90" s="31"/>
      <c r="Y90" s="32"/>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c r="CU90" s="31"/>
      <c r="CV90" s="31"/>
      <c r="CW90" s="31"/>
      <c r="CX90" s="31"/>
      <c r="CY90" s="31"/>
      <c r="CZ90" s="31"/>
      <c r="DA90" s="31"/>
      <c r="DB90" s="31"/>
      <c r="DC90" s="31"/>
      <c r="DD90" s="31"/>
      <c r="DE90" s="31"/>
      <c r="DF90" s="31"/>
      <c r="DG90" s="31"/>
      <c r="DH90" s="31"/>
      <c r="DI90" s="31"/>
      <c r="DJ90" s="31"/>
      <c r="DK90" s="31"/>
      <c r="DL90" s="31"/>
      <c r="DM90" s="31"/>
      <c r="DN90" s="31"/>
      <c r="DO90" s="31"/>
      <c r="DP90" s="31"/>
      <c r="DQ90" s="31"/>
      <c r="DR90" s="31"/>
      <c r="DS90" s="31"/>
      <c r="DT90" s="31"/>
      <c r="DU90" s="31"/>
      <c r="DV90" s="31"/>
      <c r="DW90" s="31"/>
      <c r="DX90" s="31"/>
      <c r="DY90" s="31"/>
      <c r="DZ90" s="31"/>
      <c r="EA90" s="31"/>
      <c r="EB90" s="31"/>
      <c r="EC90" s="31"/>
      <c r="ED90" s="31"/>
      <c r="EE90" s="31"/>
      <c r="EF90" s="31"/>
      <c r="EG90" s="31"/>
      <c r="EH90" s="31"/>
      <c r="EI90" s="31"/>
      <c r="EJ90" s="31"/>
      <c r="EK90" s="31"/>
      <c r="EL90" s="31"/>
      <c r="EM90" s="31"/>
      <c r="EN90" s="31"/>
      <c r="EO90" s="31"/>
      <c r="EP90" s="31"/>
      <c r="EQ90" s="31"/>
      <c r="ER90" s="31"/>
      <c r="ES90" s="31"/>
      <c r="ET90" s="31"/>
      <c r="EU90" s="31"/>
      <c r="EV90" s="31"/>
      <c r="EW90" s="31"/>
      <c r="EX90" s="31"/>
      <c r="EY90" s="31"/>
      <c r="EZ90" s="31"/>
      <c r="FA90" s="31"/>
      <c r="FB90" s="31"/>
      <c r="FC90" s="31"/>
      <c r="FD90" s="31"/>
      <c r="FE90" s="31"/>
      <c r="FF90" s="31"/>
      <c r="FG90" s="31"/>
      <c r="FH90" s="31"/>
      <c r="FI90" s="31"/>
      <c r="FJ90" s="31"/>
      <c r="FK90" s="31"/>
      <c r="FL90" s="31"/>
      <c r="FM90" s="31"/>
      <c r="FN90" s="31"/>
      <c r="FO90" s="31"/>
      <c r="FP90" s="31"/>
      <c r="FQ90" s="31"/>
      <c r="FR90" s="31"/>
      <c r="FS90" s="31"/>
      <c r="FT90" s="31"/>
      <c r="FU90" s="31"/>
      <c r="FV90" s="31"/>
      <c r="FW90" s="31"/>
      <c r="FX90" s="31"/>
      <c r="FY90" s="31"/>
      <c r="FZ90" s="31"/>
      <c r="GA90" s="31"/>
      <c r="GB90" s="31"/>
      <c r="GC90" s="31"/>
      <c r="GD90" s="31"/>
      <c r="GE90" s="31"/>
      <c r="GF90" s="31"/>
      <c r="GG90" s="31"/>
      <c r="GH90" s="31"/>
      <c r="GI90" s="31"/>
      <c r="GJ90" s="31"/>
      <c r="GK90" s="31"/>
      <c r="GL90" s="31"/>
      <c r="GM90" s="31"/>
      <c r="GN90" s="31"/>
      <c r="GO90" s="31"/>
      <c r="GP90" s="31"/>
      <c r="GQ90" s="31"/>
      <c r="GR90" s="31"/>
      <c r="GS90" s="31"/>
      <c r="GT90" s="31"/>
      <c r="GU90" s="31"/>
      <c r="GV90" s="31"/>
      <c r="GW90" s="31"/>
      <c r="GX90" s="31"/>
      <c r="GY90" s="31"/>
      <c r="GZ90" s="31"/>
      <c r="HA90" s="31"/>
      <c r="HB90" s="31"/>
      <c r="HC90" s="31"/>
      <c r="HD90" s="31"/>
      <c r="HE90" s="31"/>
      <c r="HF90" s="31"/>
      <c r="HG90" s="31"/>
      <c r="HH90" s="31"/>
      <c r="HI90" s="31"/>
      <c r="HJ90" s="31"/>
      <c r="HK90" s="31"/>
      <c r="HL90" s="31"/>
      <c r="HM90" s="31"/>
      <c r="HN90" s="31"/>
      <c r="HO90" s="31"/>
      <c r="HP90" s="31"/>
      <c r="HQ90" s="31"/>
      <c r="HR90" s="31"/>
      <c r="HS90" s="31"/>
      <c r="HT90" s="31"/>
      <c r="HU90" s="31"/>
      <c r="HV90" s="31"/>
      <c r="HW90" s="31"/>
      <c r="HX90" s="31"/>
      <c r="HY90" s="31"/>
      <c r="HZ90" s="31"/>
      <c r="IA90" s="31"/>
      <c r="IB90" s="31"/>
      <c r="IC90" s="31"/>
      <c r="ID90" s="31"/>
      <c r="IE90" s="31"/>
      <c r="IF90" s="31"/>
      <c r="IG90" s="31"/>
      <c r="IH90" s="31"/>
      <c r="II90" s="31"/>
      <c r="IJ90" s="31"/>
      <c r="IK90" s="31"/>
      <c r="IL90" s="31"/>
      <c r="IM90" s="31"/>
      <c r="IN90" s="31"/>
      <c r="IO90" s="31"/>
      <c r="IP90" s="31"/>
      <c r="IQ90" s="31"/>
      <c r="IR90" s="31"/>
      <c r="IS90" s="31"/>
      <c r="IT90" s="31"/>
      <c r="IU90" s="31"/>
      <c r="IV90" s="31"/>
      <c r="IW90" s="31"/>
      <c r="IX90" s="31"/>
      <c r="IY90" s="31"/>
      <c r="IZ90" s="31"/>
      <c r="JA90" s="31"/>
      <c r="JB90" s="31"/>
      <c r="JC90" s="31"/>
      <c r="JD90" s="31"/>
      <c r="JE90" s="31"/>
      <c r="JF90" s="31"/>
      <c r="JG90" s="31"/>
      <c r="JH90" s="31"/>
      <c r="JI90" s="31"/>
      <c r="JJ90" s="31"/>
      <c r="JK90" s="31"/>
      <c r="JL90" s="31"/>
      <c r="JM90" s="31"/>
      <c r="JN90" s="31"/>
      <c r="JO90" s="31"/>
      <c r="JP90" s="31"/>
      <c r="JQ90" s="31"/>
      <c r="JR90" s="31"/>
      <c r="JS90" s="31"/>
      <c r="JT90" s="31"/>
      <c r="JU90" s="31"/>
      <c r="JV90" s="31"/>
      <c r="JW90" s="31"/>
      <c r="JX90" s="31"/>
      <c r="JY90" s="31"/>
      <c r="JZ90" s="31"/>
      <c r="KA90" s="31"/>
      <c r="KB90" s="31"/>
      <c r="KC90" s="31"/>
      <c r="KD90" s="31"/>
      <c r="KE90" s="31"/>
      <c r="KF90" s="31"/>
      <c r="KG90" s="31"/>
      <c r="KH90" s="31"/>
      <c r="KI90" s="31"/>
      <c r="KJ90" s="31"/>
      <c r="KK90" s="31"/>
      <c r="KL90" s="31"/>
      <c r="KM90" s="31"/>
      <c r="KN90" s="31"/>
      <c r="KO90" s="31"/>
      <c r="KP90" s="31"/>
      <c r="KQ90" s="31"/>
      <c r="KR90" s="31"/>
      <c r="KS90" s="31"/>
      <c r="KT90" s="31"/>
      <c r="KU90" s="31"/>
      <c r="KV90" s="31"/>
      <c r="KW90" s="31"/>
      <c r="KX90" s="31"/>
      <c r="KY90" s="31"/>
      <c r="KZ90" s="31"/>
      <c r="LA90" s="31"/>
      <c r="LB90" s="31"/>
      <c r="LC90" s="31"/>
      <c r="LD90" s="31"/>
      <c r="LE90" s="31"/>
      <c r="LF90" s="31"/>
      <c r="LG90" s="31"/>
      <c r="LH90" s="31"/>
      <c r="LI90" s="31"/>
      <c r="LJ90" s="31"/>
      <c r="LK90" s="31"/>
      <c r="LL90" s="31"/>
      <c r="LM90" s="31"/>
      <c r="LN90" s="31"/>
      <c r="LO90" s="31"/>
      <c r="LP90" s="31"/>
      <c r="LQ90" s="31"/>
      <c r="LR90" s="31"/>
      <c r="LS90" s="31"/>
      <c r="LT90" s="31"/>
      <c r="LU90" s="31"/>
      <c r="LV90" s="31"/>
      <c r="LW90" s="31"/>
      <c r="LX90" s="31"/>
      <c r="LY90" s="31"/>
      <c r="LZ90" s="31"/>
      <c r="MA90" s="31"/>
      <c r="MB90" s="31"/>
      <c r="MC90" s="31"/>
      <c r="MD90" s="31"/>
      <c r="ME90" s="31"/>
      <c r="MF90" s="31"/>
    </row>
    <row r="91" spans="1:344" ht="42" customHeight="1">
      <c r="B91" s="191" t="str">
        <f>'OKR '!D163</f>
        <v>Identificar quem produz, quem consome e para qual finalidade</v>
      </c>
      <c r="C91" s="191" t="str">
        <f>'OKR '!E163</f>
        <v>Grupo de trabalho</v>
      </c>
      <c r="D91" s="192"/>
      <c r="E91" s="193">
        <f>'OKR '!G163</f>
        <v>46204</v>
      </c>
      <c r="F91" s="193">
        <f>'OKR '!H163</f>
        <v>46326</v>
      </c>
      <c r="G91" s="14"/>
      <c r="H91" s="14">
        <f t="shared" ca="1" si="332"/>
        <v>123</v>
      </c>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c r="EG91" s="31"/>
      <c r="EH91" s="31"/>
      <c r="EI91" s="31"/>
      <c r="EJ91" s="31"/>
      <c r="EK91" s="31"/>
      <c r="EL91" s="31"/>
      <c r="EM91" s="31"/>
      <c r="EN91" s="31"/>
      <c r="EO91" s="31"/>
      <c r="EP91" s="31"/>
      <c r="EQ91" s="31"/>
      <c r="ER91" s="31"/>
      <c r="ES91" s="31"/>
      <c r="ET91" s="31"/>
      <c r="EU91" s="31"/>
      <c r="EV91" s="31"/>
      <c r="EW91" s="31"/>
      <c r="EX91" s="31"/>
      <c r="EY91" s="31"/>
      <c r="EZ91" s="31"/>
      <c r="FA91" s="31"/>
      <c r="FB91" s="31"/>
      <c r="FC91" s="31"/>
      <c r="FD91" s="31"/>
      <c r="FE91" s="31"/>
      <c r="FF91" s="31"/>
      <c r="FG91" s="31"/>
      <c r="FH91" s="31"/>
      <c r="FI91" s="31"/>
      <c r="FJ91" s="31"/>
      <c r="FK91" s="31"/>
      <c r="FL91" s="31"/>
      <c r="FM91" s="31"/>
      <c r="FN91" s="31"/>
      <c r="FO91" s="31"/>
      <c r="FP91" s="31"/>
      <c r="FQ91" s="31"/>
      <c r="FR91" s="31"/>
      <c r="FS91" s="31"/>
      <c r="FT91" s="31"/>
      <c r="FU91" s="31"/>
      <c r="FV91" s="31"/>
      <c r="FW91" s="31"/>
      <c r="FX91" s="31"/>
      <c r="FY91" s="31"/>
      <c r="FZ91" s="31"/>
      <c r="GA91" s="31"/>
      <c r="GB91" s="31"/>
      <c r="GC91" s="31"/>
      <c r="GD91" s="31"/>
      <c r="GE91" s="31"/>
      <c r="GF91" s="31"/>
      <c r="GG91" s="31"/>
      <c r="GH91" s="31"/>
      <c r="GI91" s="31"/>
      <c r="GJ91" s="31"/>
      <c r="GK91" s="31"/>
      <c r="GL91" s="31"/>
      <c r="GM91" s="31"/>
      <c r="GN91" s="31"/>
      <c r="GO91" s="31"/>
      <c r="GP91" s="31"/>
      <c r="GQ91" s="31"/>
      <c r="GR91" s="31"/>
      <c r="GS91" s="31"/>
      <c r="GT91" s="31"/>
      <c r="GU91" s="31"/>
      <c r="GV91" s="31"/>
      <c r="GW91" s="31"/>
      <c r="GX91" s="31"/>
      <c r="GY91" s="31"/>
      <c r="GZ91" s="31"/>
      <c r="HA91" s="31"/>
      <c r="HB91" s="31"/>
      <c r="HC91" s="31"/>
      <c r="HD91" s="31"/>
      <c r="HE91" s="31"/>
      <c r="HF91" s="31"/>
      <c r="HG91" s="31"/>
      <c r="HH91" s="31"/>
      <c r="HI91" s="31"/>
      <c r="HJ91" s="31"/>
      <c r="HK91" s="31"/>
      <c r="HL91" s="31"/>
      <c r="HM91" s="31"/>
      <c r="HN91" s="31"/>
      <c r="HO91" s="31"/>
      <c r="HP91" s="31"/>
      <c r="HQ91" s="31"/>
      <c r="HR91" s="31"/>
      <c r="HS91" s="31"/>
      <c r="HT91" s="31"/>
      <c r="HU91" s="31"/>
      <c r="HV91" s="31"/>
      <c r="HW91" s="31"/>
      <c r="HX91" s="31"/>
      <c r="HY91" s="31"/>
      <c r="HZ91" s="31"/>
      <c r="IA91" s="31"/>
      <c r="IB91" s="31"/>
      <c r="IC91" s="31"/>
      <c r="ID91" s="31"/>
      <c r="IE91" s="31"/>
      <c r="IF91" s="31"/>
      <c r="IG91" s="31"/>
      <c r="IH91" s="31"/>
      <c r="II91" s="31"/>
      <c r="IJ91" s="31"/>
      <c r="IK91" s="31"/>
      <c r="IL91" s="31"/>
      <c r="IM91" s="31"/>
      <c r="IN91" s="31"/>
      <c r="IO91" s="31"/>
      <c r="IP91" s="31"/>
      <c r="IQ91" s="31"/>
      <c r="IR91" s="31"/>
      <c r="IS91" s="31"/>
      <c r="IT91" s="31"/>
      <c r="IU91" s="31"/>
      <c r="IV91" s="31"/>
      <c r="IW91" s="31"/>
      <c r="IX91" s="31"/>
      <c r="IY91" s="31"/>
      <c r="IZ91" s="31"/>
      <c r="JA91" s="31"/>
      <c r="JB91" s="31"/>
      <c r="JC91" s="31"/>
      <c r="JD91" s="31"/>
      <c r="JE91" s="31"/>
      <c r="JF91" s="31"/>
      <c r="JG91" s="31"/>
      <c r="JH91" s="31"/>
      <c r="JI91" s="31"/>
      <c r="JJ91" s="31"/>
      <c r="JK91" s="31"/>
      <c r="JL91" s="31"/>
      <c r="JM91" s="31"/>
      <c r="JN91" s="31"/>
      <c r="JO91" s="31"/>
      <c r="JP91" s="31"/>
      <c r="JQ91" s="31"/>
      <c r="JR91" s="31"/>
      <c r="JS91" s="31"/>
      <c r="JT91" s="31"/>
      <c r="JU91" s="31"/>
      <c r="JV91" s="31"/>
      <c r="JW91" s="31"/>
      <c r="JX91" s="31"/>
      <c r="JY91" s="31"/>
      <c r="JZ91" s="31"/>
      <c r="KA91" s="31"/>
      <c r="KB91" s="31"/>
      <c r="KC91" s="31"/>
      <c r="KD91" s="31"/>
      <c r="KE91" s="31"/>
      <c r="KF91" s="31"/>
      <c r="KG91" s="31"/>
      <c r="KH91" s="31"/>
      <c r="KI91" s="31"/>
      <c r="KJ91" s="31"/>
      <c r="KK91" s="31"/>
      <c r="KL91" s="31"/>
      <c r="KM91" s="31"/>
      <c r="KN91" s="31"/>
      <c r="KO91" s="31"/>
      <c r="KP91" s="31"/>
      <c r="KQ91" s="31"/>
      <c r="KR91" s="31"/>
      <c r="KS91" s="31"/>
      <c r="KT91" s="31"/>
      <c r="KU91" s="31"/>
      <c r="KV91" s="31"/>
      <c r="KW91" s="31"/>
      <c r="KX91" s="31"/>
      <c r="KY91" s="31"/>
      <c r="KZ91" s="31"/>
      <c r="LA91" s="31"/>
      <c r="LB91" s="31"/>
      <c r="LC91" s="31"/>
      <c r="LD91" s="31"/>
      <c r="LE91" s="31"/>
      <c r="LF91" s="31"/>
      <c r="LG91" s="31"/>
      <c r="LH91" s="31"/>
      <c r="LI91" s="31"/>
      <c r="LJ91" s="31"/>
      <c r="LK91" s="31"/>
      <c r="LL91" s="31"/>
      <c r="LM91" s="31"/>
      <c r="LN91" s="31"/>
      <c r="LO91" s="31"/>
      <c r="LP91" s="31"/>
      <c r="LQ91" s="31"/>
      <c r="LR91" s="31"/>
      <c r="LS91" s="31"/>
      <c r="LT91" s="31"/>
      <c r="LU91" s="31"/>
      <c r="LV91" s="31"/>
      <c r="LW91" s="31"/>
      <c r="LX91" s="31"/>
      <c r="LY91" s="31"/>
      <c r="LZ91" s="31"/>
      <c r="MA91" s="31"/>
      <c r="MB91" s="31"/>
      <c r="MC91" s="31"/>
      <c r="MD91" s="31"/>
      <c r="ME91" s="31"/>
      <c r="MF91" s="31"/>
    </row>
    <row r="92" spans="1:344" ht="45.75" customHeight="1">
      <c r="B92" s="191" t="str">
        <f>'OKR '!D164</f>
        <v>Verificar aderência aos fluxos estaduais e nacionais (ex: RNDS)</v>
      </c>
      <c r="C92" s="191" t="str">
        <f>'OKR '!E164</f>
        <v>Grupo de trabalho</v>
      </c>
      <c r="D92" s="192"/>
      <c r="E92" s="193">
        <f>'OKR '!G164</f>
        <v>46204</v>
      </c>
      <c r="F92" s="193">
        <f>'OKR '!H164</f>
        <v>46326</v>
      </c>
      <c r="G92" s="14"/>
      <c r="H92" s="14"/>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c r="EG92" s="31"/>
      <c r="EH92" s="31"/>
      <c r="EI92" s="31"/>
      <c r="EJ92" s="31"/>
      <c r="EK92" s="31"/>
      <c r="EL92" s="31"/>
      <c r="EM92" s="31"/>
      <c r="EN92" s="31"/>
      <c r="EO92" s="31"/>
      <c r="EP92" s="31"/>
      <c r="EQ92" s="31"/>
      <c r="ER92" s="31"/>
      <c r="ES92" s="31"/>
      <c r="ET92" s="31"/>
      <c r="EU92" s="31"/>
      <c r="EV92" s="31"/>
      <c r="EW92" s="31"/>
      <c r="EX92" s="31"/>
      <c r="EY92" s="31"/>
      <c r="EZ92" s="31"/>
      <c r="FA92" s="31"/>
      <c r="FB92" s="31"/>
      <c r="FC92" s="31"/>
      <c r="FD92" s="31"/>
      <c r="FE92" s="31"/>
      <c r="FF92" s="31"/>
      <c r="FG92" s="31"/>
      <c r="FH92" s="31"/>
      <c r="FI92" s="31"/>
      <c r="FJ92" s="31"/>
      <c r="FK92" s="31"/>
      <c r="FL92" s="31"/>
      <c r="FM92" s="31"/>
      <c r="FN92" s="31"/>
      <c r="FO92" s="31"/>
      <c r="FP92" s="31"/>
      <c r="FQ92" s="31"/>
      <c r="FR92" s="31"/>
      <c r="FS92" s="31"/>
      <c r="FT92" s="31"/>
      <c r="FU92" s="31"/>
      <c r="FV92" s="31"/>
      <c r="FW92" s="31"/>
      <c r="FX92" s="31"/>
      <c r="FY92" s="31"/>
      <c r="FZ92" s="31"/>
      <c r="GA92" s="31"/>
      <c r="GB92" s="31"/>
      <c r="GC92" s="31"/>
      <c r="GD92" s="31"/>
      <c r="GE92" s="31"/>
      <c r="GF92" s="31"/>
      <c r="GG92" s="31"/>
      <c r="GH92" s="31"/>
      <c r="GI92" s="31"/>
      <c r="GJ92" s="31"/>
      <c r="GK92" s="31"/>
      <c r="GL92" s="31"/>
      <c r="GM92" s="31"/>
      <c r="GN92" s="31"/>
      <c r="GO92" s="31"/>
      <c r="GP92" s="31"/>
      <c r="GQ92" s="31"/>
      <c r="GR92" s="31"/>
      <c r="GS92" s="31"/>
      <c r="GT92" s="31"/>
      <c r="GU92" s="31"/>
      <c r="GV92" s="31"/>
      <c r="GW92" s="31"/>
      <c r="GX92" s="31"/>
      <c r="GY92" s="31"/>
      <c r="GZ92" s="31"/>
      <c r="HA92" s="31"/>
      <c r="HB92" s="31"/>
      <c r="HC92" s="31"/>
      <c r="HD92" s="31"/>
      <c r="HE92" s="31"/>
      <c r="HF92" s="31"/>
      <c r="HG92" s="31"/>
      <c r="HH92" s="31"/>
      <c r="HI92" s="31"/>
      <c r="HJ92" s="31"/>
      <c r="HK92" s="31"/>
      <c r="HL92" s="31"/>
      <c r="HM92" s="31"/>
      <c r="HN92" s="31"/>
      <c r="HO92" s="31"/>
      <c r="HP92" s="31"/>
      <c r="HQ92" s="31"/>
      <c r="HR92" s="31"/>
      <c r="HS92" s="31"/>
      <c r="HT92" s="31"/>
      <c r="HU92" s="31"/>
      <c r="HV92" s="31"/>
      <c r="HW92" s="31"/>
      <c r="HX92" s="31"/>
      <c r="HY92" s="31"/>
      <c r="HZ92" s="31"/>
      <c r="IA92" s="31"/>
      <c r="IB92" s="31"/>
      <c r="IC92" s="31"/>
      <c r="ID92" s="31"/>
      <c r="IE92" s="31"/>
      <c r="IF92" s="31"/>
      <c r="IG92" s="31"/>
      <c r="IH92" s="31"/>
      <c r="II92" s="31"/>
      <c r="IJ92" s="31"/>
      <c r="IK92" s="31"/>
      <c r="IL92" s="31"/>
      <c r="IM92" s="31"/>
      <c r="IN92" s="31"/>
      <c r="IO92" s="31"/>
      <c r="IP92" s="31"/>
      <c r="IQ92" s="31"/>
      <c r="IR92" s="31"/>
      <c r="IS92" s="31"/>
      <c r="IT92" s="31"/>
      <c r="IU92" s="31"/>
      <c r="IV92" s="31"/>
      <c r="IW92" s="31"/>
      <c r="IX92" s="31"/>
      <c r="IY92" s="31"/>
      <c r="IZ92" s="31"/>
      <c r="JA92" s="31"/>
      <c r="JB92" s="31"/>
      <c r="JC92" s="31"/>
      <c r="JD92" s="31"/>
      <c r="JE92" s="31"/>
      <c r="JF92" s="31"/>
      <c r="JG92" s="31"/>
      <c r="JH92" s="31"/>
      <c r="JI92" s="31"/>
      <c r="JJ92" s="31"/>
      <c r="JK92" s="31"/>
      <c r="JL92" s="31"/>
      <c r="JM92" s="31"/>
      <c r="JN92" s="31"/>
      <c r="JO92" s="31"/>
      <c r="JP92" s="31"/>
      <c r="JQ92" s="31"/>
      <c r="JR92" s="31"/>
      <c r="JS92" s="31"/>
      <c r="JT92" s="31"/>
      <c r="JU92" s="31"/>
      <c r="JV92" s="31"/>
      <c r="JW92" s="31"/>
      <c r="JX92" s="31"/>
      <c r="JY92" s="31"/>
      <c r="JZ92" s="31"/>
      <c r="KA92" s="31"/>
      <c r="KB92" s="31"/>
      <c r="KC92" s="31"/>
      <c r="KD92" s="31"/>
      <c r="KE92" s="31"/>
      <c r="KF92" s="31"/>
      <c r="KG92" s="31"/>
      <c r="KH92" s="31"/>
      <c r="KI92" s="31"/>
      <c r="KJ92" s="31"/>
      <c r="KK92" s="31"/>
      <c r="KL92" s="31"/>
      <c r="KM92" s="31"/>
      <c r="KN92" s="31"/>
      <c r="KO92" s="31"/>
      <c r="KP92" s="31"/>
      <c r="KQ92" s="31"/>
      <c r="KR92" s="31"/>
      <c r="KS92" s="31"/>
      <c r="KT92" s="31"/>
      <c r="KU92" s="31"/>
      <c r="KV92" s="31"/>
      <c r="KW92" s="31"/>
      <c r="KX92" s="31"/>
      <c r="KY92" s="31"/>
      <c r="KZ92" s="31"/>
      <c r="LA92" s="31"/>
      <c r="LB92" s="31"/>
      <c r="LC92" s="31"/>
      <c r="LD92" s="31"/>
      <c r="LE92" s="31"/>
      <c r="LF92" s="31"/>
      <c r="LG92" s="31"/>
      <c r="LH92" s="31"/>
      <c r="LI92" s="31"/>
      <c r="LJ92" s="31"/>
      <c r="LK92" s="31"/>
      <c r="LL92" s="31"/>
      <c r="LM92" s="31"/>
      <c r="LN92" s="31"/>
      <c r="LO92" s="31"/>
      <c r="LP92" s="31"/>
      <c r="LQ92" s="31"/>
      <c r="LR92" s="31"/>
      <c r="LS92" s="31"/>
      <c r="LT92" s="31"/>
      <c r="LU92" s="31"/>
      <c r="LV92" s="31"/>
      <c r="LW92" s="31"/>
      <c r="LX92" s="31"/>
      <c r="LY92" s="31"/>
      <c r="LZ92" s="31"/>
      <c r="MA92" s="31"/>
      <c r="MB92" s="31"/>
      <c r="MC92" s="31"/>
      <c r="MD92" s="31"/>
      <c r="ME92" s="31"/>
      <c r="MF92" s="31"/>
    </row>
    <row r="93" spans="1:344" ht="45.75">
      <c r="B93" s="191" t="str">
        <f>'OKR '!D165</f>
        <v>Consolidar diagnóstico para apoio à decisão - síntese com sistemas prioritários para integração</v>
      </c>
      <c r="C93" s="191" t="str">
        <f>'OKR '!E165</f>
        <v>Grupo de trabalho</v>
      </c>
      <c r="D93" s="192"/>
      <c r="E93" s="193">
        <f>'OKR '!G165</f>
        <v>46327</v>
      </c>
      <c r="F93" s="193">
        <f>'OKR '!H165</f>
        <v>46387</v>
      </c>
      <c r="G93" s="14"/>
      <c r="H93" s="14"/>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c r="EG93" s="31"/>
      <c r="EH93" s="31"/>
      <c r="EI93" s="31"/>
      <c r="EJ93" s="31"/>
      <c r="EK93" s="31"/>
      <c r="EL93" s="31"/>
      <c r="EM93" s="31"/>
      <c r="EN93" s="31"/>
      <c r="EO93" s="31"/>
      <c r="EP93" s="31"/>
      <c r="EQ93" s="31"/>
      <c r="ER93" s="31"/>
      <c r="ES93" s="31"/>
      <c r="ET93" s="31"/>
      <c r="EU93" s="31"/>
      <c r="EV93" s="31"/>
      <c r="EW93" s="31"/>
      <c r="EX93" s="31"/>
      <c r="EY93" s="31"/>
      <c r="EZ93" s="31"/>
      <c r="FA93" s="31"/>
      <c r="FB93" s="31"/>
      <c r="FC93" s="31"/>
      <c r="FD93" s="31"/>
      <c r="FE93" s="31"/>
      <c r="FF93" s="31"/>
      <c r="FG93" s="31"/>
      <c r="FH93" s="31"/>
      <c r="FI93" s="31"/>
      <c r="FJ93" s="31"/>
      <c r="FK93" s="31"/>
      <c r="FL93" s="31"/>
      <c r="FM93" s="31"/>
      <c r="FN93" s="31"/>
      <c r="FO93" s="31"/>
      <c r="FP93" s="31"/>
      <c r="FQ93" s="31"/>
      <c r="FR93" s="31"/>
      <c r="FS93" s="31"/>
      <c r="FT93" s="31"/>
      <c r="FU93" s="31"/>
      <c r="FV93" s="31"/>
      <c r="FW93" s="31"/>
      <c r="FX93" s="31"/>
      <c r="FY93" s="31"/>
      <c r="FZ93" s="31"/>
      <c r="GA93" s="31"/>
      <c r="GB93" s="31"/>
      <c r="GC93" s="31"/>
      <c r="GD93" s="31"/>
      <c r="GE93" s="31"/>
      <c r="GF93" s="31"/>
      <c r="GG93" s="31"/>
      <c r="GH93" s="31"/>
      <c r="GI93" s="31"/>
      <c r="GJ93" s="31"/>
      <c r="GK93" s="31"/>
      <c r="GL93" s="31"/>
      <c r="GM93" s="31"/>
      <c r="GN93" s="31"/>
      <c r="GO93" s="31"/>
      <c r="GP93" s="31"/>
      <c r="GQ93" s="31"/>
      <c r="GR93" s="31"/>
      <c r="GS93" s="31"/>
      <c r="GT93" s="31"/>
      <c r="GU93" s="31"/>
      <c r="GV93" s="31"/>
      <c r="GW93" s="31"/>
      <c r="GX93" s="31"/>
      <c r="GY93" s="31"/>
      <c r="GZ93" s="31"/>
      <c r="HA93" s="31"/>
      <c r="HB93" s="31"/>
      <c r="HC93" s="31"/>
      <c r="HD93" s="31"/>
      <c r="HE93" s="31"/>
      <c r="HF93" s="31"/>
      <c r="HG93" s="31"/>
      <c r="HH93" s="31"/>
      <c r="HI93" s="31"/>
      <c r="HJ93" s="31"/>
      <c r="HK93" s="31"/>
      <c r="HL93" s="31"/>
      <c r="HM93" s="31"/>
      <c r="HN93" s="31"/>
      <c r="HO93" s="31"/>
      <c r="HP93" s="31"/>
      <c r="HQ93" s="31"/>
      <c r="HR93" s="31"/>
      <c r="HS93" s="31"/>
      <c r="HT93" s="31"/>
      <c r="HU93" s="31"/>
      <c r="HV93" s="31"/>
      <c r="HW93" s="31"/>
      <c r="HX93" s="31"/>
      <c r="HY93" s="31"/>
      <c r="HZ93" s="31"/>
      <c r="IA93" s="31"/>
      <c r="IB93" s="31"/>
      <c r="IC93" s="31"/>
      <c r="ID93" s="31"/>
      <c r="IE93" s="31"/>
      <c r="IF93" s="31"/>
      <c r="IG93" s="31"/>
      <c r="IH93" s="31"/>
      <c r="II93" s="31"/>
      <c r="IJ93" s="31"/>
      <c r="IK93" s="31"/>
      <c r="IL93" s="31"/>
      <c r="IM93" s="31"/>
      <c r="IN93" s="31"/>
      <c r="IO93" s="31"/>
      <c r="IP93" s="31"/>
      <c r="IQ93" s="31"/>
      <c r="IR93" s="31"/>
      <c r="IS93" s="31"/>
      <c r="IT93" s="31"/>
      <c r="IU93" s="31"/>
      <c r="IV93" s="31"/>
      <c r="IW93" s="31"/>
      <c r="IX93" s="31"/>
      <c r="IY93" s="31"/>
      <c r="IZ93" s="31"/>
      <c r="JA93" s="31"/>
      <c r="JB93" s="31"/>
      <c r="JC93" s="31"/>
      <c r="JD93" s="31"/>
      <c r="JE93" s="31"/>
      <c r="JF93" s="31"/>
      <c r="JG93" s="31"/>
      <c r="JH93" s="31"/>
      <c r="JI93" s="31"/>
      <c r="JJ93" s="31"/>
      <c r="JK93" s="31"/>
      <c r="JL93" s="31"/>
      <c r="JM93" s="31"/>
      <c r="JN93" s="31"/>
      <c r="JO93" s="31"/>
      <c r="JP93" s="31"/>
      <c r="JQ93" s="31"/>
      <c r="JR93" s="31"/>
      <c r="JS93" s="31"/>
      <c r="JT93" s="31"/>
      <c r="JU93" s="31"/>
      <c r="JV93" s="31"/>
      <c r="JW93" s="31"/>
      <c r="JX93" s="31"/>
      <c r="JY93" s="31"/>
      <c r="JZ93" s="31"/>
      <c r="KA93" s="31"/>
      <c r="KB93" s="31"/>
      <c r="KC93" s="31"/>
      <c r="KD93" s="31"/>
      <c r="KE93" s="31"/>
      <c r="KF93" s="31"/>
      <c r="KG93" s="31"/>
      <c r="KH93" s="31"/>
      <c r="KI93" s="31"/>
      <c r="KJ93" s="31"/>
      <c r="KK93" s="31"/>
      <c r="KL93" s="31"/>
      <c r="KM93" s="31"/>
      <c r="KN93" s="31"/>
      <c r="KO93" s="31"/>
      <c r="KP93" s="31"/>
      <c r="KQ93" s="31"/>
      <c r="KR93" s="31"/>
      <c r="KS93" s="31"/>
      <c r="KT93" s="31"/>
      <c r="KU93" s="31"/>
      <c r="KV93" s="31"/>
      <c r="KW93" s="31"/>
      <c r="KX93" s="31"/>
      <c r="KY93" s="31"/>
      <c r="KZ93" s="31"/>
      <c r="LA93" s="31"/>
      <c r="LB93" s="31"/>
      <c r="LC93" s="31"/>
      <c r="LD93" s="31"/>
      <c r="LE93" s="31"/>
      <c r="LF93" s="31"/>
      <c r="LG93" s="31"/>
      <c r="LH93" s="31"/>
      <c r="LI93" s="31"/>
      <c r="LJ93" s="31"/>
      <c r="LK93" s="31"/>
      <c r="LL93" s="31"/>
      <c r="LM93" s="31"/>
      <c r="LN93" s="31"/>
      <c r="LO93" s="31"/>
      <c r="LP93" s="31"/>
      <c r="LQ93" s="31"/>
      <c r="LR93" s="31"/>
      <c r="LS93" s="31"/>
      <c r="LT93" s="31"/>
      <c r="LU93" s="31"/>
      <c r="LV93" s="31"/>
      <c r="LW93" s="31"/>
      <c r="LX93" s="31"/>
      <c r="LY93" s="31"/>
      <c r="LZ93" s="31"/>
      <c r="MA93" s="31"/>
      <c r="MB93" s="31"/>
      <c r="MC93" s="31"/>
      <c r="MD93" s="31"/>
      <c r="ME93" s="31"/>
      <c r="MF93" s="31"/>
    </row>
    <row r="94" spans="1:344" ht="45.75" customHeight="1">
      <c r="B94" s="191" t="str">
        <f>'OKR '!D166</f>
        <v>Apontar riscos e oportunidades para a gestão regional e estadual</v>
      </c>
      <c r="C94" s="191" t="str">
        <f>'OKR '!E166</f>
        <v>Grupo de trabalho</v>
      </c>
      <c r="D94" s="192"/>
      <c r="E94" s="193">
        <f>'OKR '!G166</f>
        <v>46327</v>
      </c>
      <c r="F94" s="193">
        <f>'OKR '!H166</f>
        <v>46387</v>
      </c>
      <c r="G94" s="14"/>
      <c r="H94" s="14"/>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c r="EG94" s="31"/>
      <c r="EH94" s="31"/>
      <c r="EI94" s="31"/>
      <c r="EJ94" s="31"/>
      <c r="EK94" s="31"/>
      <c r="EL94" s="31"/>
      <c r="EM94" s="31"/>
      <c r="EN94" s="31"/>
      <c r="EO94" s="31"/>
      <c r="EP94" s="31"/>
      <c r="EQ94" s="31"/>
      <c r="ER94" s="31"/>
      <c r="ES94" s="31"/>
      <c r="ET94" s="31"/>
      <c r="EU94" s="31"/>
      <c r="EV94" s="31"/>
      <c r="EW94" s="31"/>
      <c r="EX94" s="31"/>
      <c r="EY94" s="31"/>
      <c r="EZ94" s="31"/>
      <c r="FA94" s="31"/>
      <c r="FB94" s="31"/>
      <c r="FC94" s="31"/>
      <c r="FD94" s="31"/>
      <c r="FE94" s="31"/>
      <c r="FF94" s="31"/>
      <c r="FG94" s="31"/>
      <c r="FH94" s="31"/>
      <c r="FI94" s="31"/>
      <c r="FJ94" s="31"/>
      <c r="FK94" s="31"/>
      <c r="FL94" s="31"/>
      <c r="FM94" s="31"/>
      <c r="FN94" s="31"/>
      <c r="FO94" s="31"/>
      <c r="FP94" s="31"/>
      <c r="FQ94" s="31"/>
      <c r="FR94" s="31"/>
      <c r="FS94" s="31"/>
      <c r="FT94" s="31"/>
      <c r="FU94" s="31"/>
      <c r="FV94" s="31"/>
      <c r="FW94" s="31"/>
      <c r="FX94" s="31"/>
      <c r="FY94" s="31"/>
      <c r="FZ94" s="31"/>
      <c r="GA94" s="31"/>
      <c r="GB94" s="31"/>
      <c r="GC94" s="31"/>
      <c r="GD94" s="31"/>
      <c r="GE94" s="31"/>
      <c r="GF94" s="31"/>
      <c r="GG94" s="31"/>
      <c r="GH94" s="31"/>
      <c r="GI94" s="31"/>
      <c r="GJ94" s="31"/>
      <c r="GK94" s="31"/>
      <c r="GL94" s="31"/>
      <c r="GM94" s="31"/>
      <c r="GN94" s="31"/>
      <c r="GO94" s="31"/>
      <c r="GP94" s="31"/>
      <c r="GQ94" s="31"/>
      <c r="GR94" s="31"/>
      <c r="GS94" s="31"/>
      <c r="GT94" s="31"/>
      <c r="GU94" s="31"/>
      <c r="GV94" s="31"/>
      <c r="GW94" s="31"/>
      <c r="GX94" s="31"/>
      <c r="GY94" s="31"/>
      <c r="GZ94" s="31"/>
      <c r="HA94" s="31"/>
      <c r="HB94" s="31"/>
      <c r="HC94" s="31"/>
      <c r="HD94" s="31"/>
      <c r="HE94" s="31"/>
      <c r="HF94" s="31"/>
      <c r="HG94" s="31"/>
      <c r="HH94" s="31"/>
      <c r="HI94" s="31"/>
      <c r="HJ94" s="31"/>
      <c r="HK94" s="31"/>
      <c r="HL94" s="31"/>
      <c r="HM94" s="31"/>
      <c r="HN94" s="31"/>
      <c r="HO94" s="31"/>
      <c r="HP94" s="31"/>
      <c r="HQ94" s="31"/>
      <c r="HR94" s="31"/>
      <c r="HS94" s="31"/>
      <c r="HT94" s="31"/>
      <c r="HU94" s="31"/>
      <c r="HV94" s="31"/>
      <c r="HW94" s="31"/>
      <c r="HX94" s="31"/>
      <c r="HY94" s="31"/>
      <c r="HZ94" s="31"/>
      <c r="IA94" s="31"/>
      <c r="IB94" s="31"/>
      <c r="IC94" s="31"/>
      <c r="ID94" s="31"/>
      <c r="IE94" s="31"/>
      <c r="IF94" s="31"/>
      <c r="IG94" s="31"/>
      <c r="IH94" s="31"/>
      <c r="II94" s="31"/>
      <c r="IJ94" s="31"/>
      <c r="IK94" s="31"/>
      <c r="IL94" s="31"/>
      <c r="IM94" s="31"/>
      <c r="IN94" s="31"/>
      <c r="IO94" s="31"/>
      <c r="IP94" s="31"/>
      <c r="IQ94" s="31"/>
      <c r="IR94" s="31"/>
      <c r="IS94" s="31"/>
      <c r="IT94" s="31"/>
      <c r="IU94" s="31"/>
      <c r="IV94" s="31"/>
      <c r="IW94" s="31"/>
      <c r="IX94" s="31"/>
      <c r="IY94" s="31"/>
      <c r="IZ94" s="31"/>
      <c r="JA94" s="31"/>
      <c r="JB94" s="31"/>
      <c r="JC94" s="31"/>
      <c r="JD94" s="31"/>
      <c r="JE94" s="31"/>
      <c r="JF94" s="31"/>
      <c r="JG94" s="31"/>
      <c r="JH94" s="31"/>
      <c r="JI94" s="31"/>
      <c r="JJ94" s="31"/>
      <c r="JK94" s="31"/>
      <c r="JL94" s="31"/>
      <c r="JM94" s="31"/>
      <c r="JN94" s="31"/>
      <c r="JO94" s="31"/>
      <c r="JP94" s="31"/>
      <c r="JQ94" s="31"/>
      <c r="JR94" s="31"/>
      <c r="JS94" s="31"/>
      <c r="JT94" s="31"/>
      <c r="JU94" s="31"/>
      <c r="JV94" s="31"/>
      <c r="JW94" s="31"/>
      <c r="JX94" s="31"/>
      <c r="JY94" s="31"/>
      <c r="JZ94" s="31"/>
      <c r="KA94" s="31"/>
      <c r="KB94" s="31"/>
      <c r="KC94" s="31"/>
      <c r="KD94" s="31"/>
      <c r="KE94" s="31"/>
      <c r="KF94" s="31"/>
      <c r="KG94" s="31"/>
      <c r="KH94" s="31"/>
      <c r="KI94" s="31"/>
      <c r="KJ94" s="31"/>
      <c r="KK94" s="31"/>
      <c r="KL94" s="31"/>
      <c r="KM94" s="31"/>
      <c r="KN94" s="31"/>
      <c r="KO94" s="31"/>
      <c r="KP94" s="31"/>
      <c r="KQ94" s="31"/>
      <c r="KR94" s="31"/>
      <c r="KS94" s="31"/>
      <c r="KT94" s="31"/>
      <c r="KU94" s="31"/>
      <c r="KV94" s="31"/>
      <c r="KW94" s="31"/>
      <c r="KX94" s="31"/>
      <c r="KY94" s="31"/>
      <c r="KZ94" s="31"/>
      <c r="LA94" s="31"/>
      <c r="LB94" s="31"/>
      <c r="LC94" s="31"/>
      <c r="LD94" s="31"/>
      <c r="LE94" s="31"/>
      <c r="LF94" s="31"/>
      <c r="LG94" s="31"/>
      <c r="LH94" s="31"/>
      <c r="LI94" s="31"/>
      <c r="LJ94" s="31"/>
      <c r="LK94" s="31"/>
      <c r="LL94" s="31"/>
      <c r="LM94" s="31"/>
      <c r="LN94" s="31"/>
      <c r="LO94" s="31"/>
      <c r="LP94" s="31"/>
      <c r="LQ94" s="31"/>
      <c r="LR94" s="31"/>
      <c r="LS94" s="31"/>
      <c r="LT94" s="31"/>
      <c r="LU94" s="31"/>
      <c r="LV94" s="31"/>
      <c r="LW94" s="31"/>
      <c r="LX94" s="31"/>
      <c r="LY94" s="31"/>
      <c r="LZ94" s="31"/>
      <c r="MA94" s="31"/>
      <c r="MB94" s="31"/>
      <c r="MC94" s="31"/>
      <c r="MD94" s="31"/>
      <c r="ME94" s="31"/>
      <c r="MF94" s="31"/>
    </row>
    <row r="95" spans="1:344" ht="15" hidden="1" customHeight="1">
      <c r="B95" s="119">
        <f>'OKR '!D167</f>
        <v>0</v>
      </c>
      <c r="C95" s="119">
        <f>'OKR '!E167</f>
        <v>0</v>
      </c>
      <c r="D95" s="17"/>
      <c r="E95" s="72">
        <f>'OKR '!G167</f>
        <v>0</v>
      </c>
      <c r="F95" s="72">
        <f>'OKR '!H167</f>
        <v>0</v>
      </c>
      <c r="G95" s="14"/>
      <c r="H95" s="14"/>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c r="EG95" s="31"/>
      <c r="EH95" s="31"/>
      <c r="EI95" s="31"/>
      <c r="EJ95" s="31"/>
      <c r="EK95" s="31"/>
      <c r="EL95" s="31"/>
      <c r="EM95" s="31"/>
      <c r="EN95" s="31"/>
      <c r="EO95" s="31"/>
      <c r="EP95" s="31"/>
      <c r="EQ95" s="31"/>
      <c r="ER95" s="31"/>
      <c r="ES95" s="31"/>
      <c r="ET95" s="31"/>
      <c r="EU95" s="31"/>
      <c r="EV95" s="31"/>
      <c r="EW95" s="31"/>
      <c r="EX95" s="31"/>
      <c r="EY95" s="31"/>
      <c r="EZ95" s="31"/>
      <c r="FA95" s="31"/>
      <c r="FB95" s="31"/>
      <c r="FC95" s="31"/>
      <c r="FD95" s="31"/>
      <c r="FE95" s="31"/>
      <c r="FF95" s="31"/>
      <c r="FG95" s="31"/>
      <c r="FH95" s="31"/>
      <c r="FI95" s="31"/>
      <c r="FJ95" s="31"/>
      <c r="FK95" s="31"/>
      <c r="FL95" s="31"/>
      <c r="FM95" s="31"/>
      <c r="FN95" s="31"/>
      <c r="FO95" s="31"/>
      <c r="FP95" s="31"/>
      <c r="FQ95" s="31"/>
      <c r="FR95" s="31"/>
      <c r="FS95" s="31"/>
      <c r="FT95" s="31"/>
      <c r="FU95" s="31"/>
      <c r="FV95" s="31"/>
      <c r="FW95" s="31"/>
      <c r="FX95" s="31"/>
      <c r="FY95" s="31"/>
      <c r="FZ95" s="31"/>
      <c r="GA95" s="31"/>
      <c r="GB95" s="31"/>
      <c r="GC95" s="31"/>
      <c r="GD95" s="31"/>
      <c r="GE95" s="31"/>
      <c r="GF95" s="31"/>
      <c r="GG95" s="31"/>
      <c r="GH95" s="31"/>
      <c r="GI95" s="31"/>
      <c r="GJ95" s="31"/>
      <c r="GK95" s="31"/>
      <c r="GL95" s="31"/>
      <c r="GM95" s="31"/>
      <c r="GN95" s="31"/>
      <c r="GO95" s="31"/>
      <c r="GP95" s="31"/>
      <c r="GQ95" s="31"/>
      <c r="GR95" s="31"/>
      <c r="GS95" s="31"/>
      <c r="GT95" s="31"/>
      <c r="GU95" s="31"/>
      <c r="GV95" s="31"/>
      <c r="GW95" s="31"/>
      <c r="GX95" s="31"/>
      <c r="GY95" s="31"/>
      <c r="GZ95" s="31"/>
      <c r="HA95" s="31"/>
      <c r="HB95" s="31"/>
      <c r="HC95" s="31"/>
      <c r="HD95" s="31"/>
      <c r="HE95" s="31"/>
      <c r="HF95" s="31"/>
      <c r="HG95" s="31"/>
      <c r="HH95" s="31"/>
      <c r="HI95" s="31"/>
      <c r="HJ95" s="31"/>
      <c r="HK95" s="31"/>
      <c r="HL95" s="31"/>
      <c r="HM95" s="31"/>
      <c r="HN95" s="31"/>
      <c r="HO95" s="31"/>
      <c r="HP95" s="31"/>
      <c r="HQ95" s="31"/>
      <c r="HR95" s="31"/>
      <c r="HS95" s="31"/>
      <c r="HT95" s="31"/>
      <c r="HU95" s="31"/>
      <c r="HV95" s="31"/>
      <c r="HW95" s="31"/>
      <c r="HX95" s="31"/>
      <c r="HY95" s="31"/>
      <c r="HZ95" s="31"/>
      <c r="IA95" s="31"/>
      <c r="IB95" s="31"/>
      <c r="IC95" s="31"/>
      <c r="ID95" s="31"/>
      <c r="IE95" s="31"/>
      <c r="IF95" s="31"/>
      <c r="IG95" s="31"/>
      <c r="IH95" s="31"/>
      <c r="II95" s="31"/>
      <c r="IJ95" s="31"/>
      <c r="IK95" s="31"/>
      <c r="IL95" s="31"/>
      <c r="IM95" s="31"/>
      <c r="IN95" s="31"/>
      <c r="IO95" s="31"/>
      <c r="IP95" s="31"/>
      <c r="IQ95" s="31"/>
      <c r="IR95" s="31"/>
      <c r="IS95" s="31"/>
      <c r="IT95" s="31"/>
      <c r="IU95" s="31"/>
      <c r="IV95" s="31"/>
      <c r="IW95" s="31"/>
      <c r="IX95" s="31"/>
      <c r="IY95" s="31"/>
      <c r="IZ95" s="31"/>
      <c r="JA95" s="31"/>
      <c r="JB95" s="31"/>
      <c r="JC95" s="31"/>
      <c r="JD95" s="31"/>
      <c r="JE95" s="31"/>
      <c r="JF95" s="31"/>
      <c r="JG95" s="31"/>
      <c r="JH95" s="31"/>
      <c r="JI95" s="31"/>
      <c r="JJ95" s="31"/>
      <c r="JK95" s="31"/>
      <c r="JL95" s="31"/>
      <c r="JM95" s="31"/>
      <c r="JN95" s="31"/>
      <c r="JO95" s="31"/>
      <c r="JP95" s="31"/>
      <c r="JQ95" s="31"/>
      <c r="JR95" s="31"/>
      <c r="JS95" s="31"/>
      <c r="JT95" s="31"/>
      <c r="JU95" s="31"/>
      <c r="JV95" s="31"/>
      <c r="JW95" s="31"/>
      <c r="JX95" s="31"/>
      <c r="JY95" s="31"/>
      <c r="JZ95" s="31"/>
      <c r="KA95" s="31"/>
      <c r="KB95" s="31"/>
      <c r="KC95" s="31"/>
      <c r="KD95" s="31"/>
      <c r="KE95" s="31"/>
      <c r="KF95" s="31"/>
      <c r="KG95" s="31"/>
      <c r="KH95" s="31"/>
      <c r="KI95" s="31"/>
      <c r="KJ95" s="31"/>
      <c r="KK95" s="31"/>
      <c r="KL95" s="31"/>
      <c r="KM95" s="31"/>
      <c r="KN95" s="31"/>
      <c r="KO95" s="31"/>
      <c r="KP95" s="31"/>
      <c r="KQ95" s="31"/>
      <c r="KR95" s="31"/>
      <c r="KS95" s="31"/>
      <c r="KT95" s="31"/>
      <c r="KU95" s="31"/>
      <c r="KV95" s="31"/>
      <c r="KW95" s="31"/>
      <c r="KX95" s="31"/>
      <c r="KY95" s="31"/>
      <c r="KZ95" s="31"/>
      <c r="LA95" s="31"/>
      <c r="LB95" s="31"/>
      <c r="LC95" s="31"/>
      <c r="LD95" s="31"/>
      <c r="LE95" s="31"/>
      <c r="LF95" s="31"/>
      <c r="LG95" s="31"/>
      <c r="LH95" s="31"/>
      <c r="LI95" s="31"/>
      <c r="LJ95" s="31"/>
      <c r="LK95" s="31"/>
      <c r="LL95" s="31"/>
      <c r="LM95" s="31"/>
      <c r="LN95" s="31"/>
      <c r="LO95" s="31"/>
      <c r="LP95" s="31"/>
      <c r="LQ95" s="31"/>
      <c r="LR95" s="31"/>
      <c r="LS95" s="31"/>
      <c r="LT95" s="31"/>
      <c r="LU95" s="31"/>
      <c r="LV95" s="31"/>
      <c r="LW95" s="31"/>
      <c r="LX95" s="31"/>
      <c r="LY95" s="31"/>
      <c r="LZ95" s="31"/>
      <c r="MA95" s="31"/>
      <c r="MB95" s="31"/>
      <c r="MC95" s="31"/>
      <c r="MD95" s="31"/>
      <c r="ME95" s="31"/>
      <c r="MF95" s="31"/>
    </row>
    <row r="96" spans="1:344" ht="30" customHeight="1">
      <c r="A96" s="46" t="s">
        <v>169</v>
      </c>
      <c r="B96" s="262" t="str">
        <f>'OKR '!D171</f>
        <v>Definir padrões mínimos e governança de dados</v>
      </c>
      <c r="C96" s="262"/>
      <c r="D96" s="262"/>
      <c r="E96" s="262"/>
      <c r="F96" s="262"/>
      <c r="G96" s="14"/>
      <c r="H96" s="14" t="str">
        <f t="shared" ca="1" si="332"/>
        <v/>
      </c>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c r="EG96" s="31"/>
      <c r="EH96" s="31"/>
      <c r="EI96" s="31"/>
      <c r="EJ96" s="31"/>
      <c r="EK96" s="31"/>
      <c r="EL96" s="31"/>
      <c r="EM96" s="31"/>
      <c r="EN96" s="31"/>
      <c r="EO96" s="31"/>
      <c r="EP96" s="31"/>
      <c r="EQ96" s="31"/>
      <c r="ER96" s="31"/>
      <c r="ES96" s="31"/>
      <c r="ET96" s="31"/>
      <c r="EU96" s="31"/>
      <c r="EV96" s="31"/>
      <c r="EW96" s="31"/>
      <c r="EX96" s="31"/>
      <c r="EY96" s="31"/>
      <c r="EZ96" s="31"/>
      <c r="FA96" s="31"/>
      <c r="FB96" s="31"/>
      <c r="FC96" s="31"/>
      <c r="FD96" s="31"/>
      <c r="FE96" s="31"/>
      <c r="FF96" s="31"/>
      <c r="FG96" s="31"/>
      <c r="FH96" s="31"/>
      <c r="FI96" s="31"/>
      <c r="FJ96" s="31"/>
      <c r="FK96" s="31"/>
      <c r="FL96" s="31"/>
      <c r="FM96" s="31"/>
      <c r="FN96" s="31"/>
      <c r="FO96" s="31"/>
      <c r="FP96" s="31"/>
      <c r="FQ96" s="31"/>
      <c r="FR96" s="31"/>
      <c r="FS96" s="31"/>
      <c r="FT96" s="31"/>
      <c r="FU96" s="31"/>
      <c r="FV96" s="31"/>
      <c r="FW96" s="31"/>
      <c r="FX96" s="31"/>
      <c r="FY96" s="31"/>
      <c r="FZ96" s="31"/>
      <c r="GA96" s="31"/>
      <c r="GB96" s="31"/>
      <c r="GC96" s="31"/>
      <c r="GD96" s="31"/>
      <c r="GE96" s="31"/>
      <c r="GF96" s="31"/>
      <c r="GG96" s="31"/>
      <c r="GH96" s="31"/>
      <c r="GI96" s="31"/>
      <c r="GJ96" s="31"/>
      <c r="GK96" s="31"/>
      <c r="GL96" s="31"/>
      <c r="GM96" s="31"/>
      <c r="GN96" s="31"/>
      <c r="GO96" s="31"/>
      <c r="GP96" s="31"/>
      <c r="GQ96" s="31"/>
      <c r="GR96" s="31"/>
      <c r="GS96" s="31"/>
      <c r="GT96" s="31"/>
      <c r="GU96" s="31"/>
      <c r="GV96" s="31"/>
      <c r="GW96" s="31"/>
      <c r="GX96" s="31"/>
      <c r="GY96" s="31"/>
      <c r="GZ96" s="31"/>
      <c r="HA96" s="31"/>
      <c r="HB96" s="31"/>
      <c r="HC96" s="31"/>
      <c r="HD96" s="31"/>
      <c r="HE96" s="31"/>
      <c r="HF96" s="31"/>
      <c r="HG96" s="31"/>
      <c r="HH96" s="31"/>
      <c r="HI96" s="31"/>
      <c r="HJ96" s="31"/>
      <c r="HK96" s="31"/>
      <c r="HL96" s="31"/>
      <c r="HM96" s="31"/>
      <c r="HN96" s="31"/>
      <c r="HO96" s="31"/>
      <c r="HP96" s="31"/>
      <c r="HQ96" s="31"/>
      <c r="HR96" s="31"/>
      <c r="HS96" s="31"/>
      <c r="HT96" s="31"/>
      <c r="HU96" s="31"/>
      <c r="HV96" s="31"/>
      <c r="HW96" s="31"/>
      <c r="HX96" s="31"/>
      <c r="HY96" s="31"/>
      <c r="HZ96" s="31"/>
      <c r="IA96" s="31"/>
      <c r="IB96" s="31"/>
      <c r="IC96" s="31"/>
      <c r="ID96" s="31"/>
      <c r="IE96" s="31"/>
      <c r="IF96" s="31"/>
      <c r="IG96" s="31"/>
      <c r="IH96" s="31"/>
      <c r="II96" s="31"/>
      <c r="IJ96" s="31"/>
      <c r="IK96" s="31"/>
      <c r="IL96" s="31"/>
      <c r="IM96" s="31"/>
      <c r="IN96" s="31"/>
      <c r="IO96" s="31"/>
      <c r="IP96" s="31"/>
      <c r="IQ96" s="31"/>
      <c r="IR96" s="31"/>
      <c r="IS96" s="31"/>
      <c r="IT96" s="31"/>
      <c r="IU96" s="31"/>
      <c r="IV96" s="31"/>
      <c r="IW96" s="31"/>
      <c r="IX96" s="31"/>
      <c r="IY96" s="31"/>
      <c r="IZ96" s="31"/>
      <c r="JA96" s="31"/>
      <c r="JB96" s="31"/>
      <c r="JC96" s="31"/>
      <c r="JD96" s="31"/>
      <c r="JE96" s="31"/>
      <c r="JF96" s="31"/>
      <c r="JG96" s="31"/>
      <c r="JH96" s="31"/>
      <c r="JI96" s="31"/>
      <c r="JJ96" s="31"/>
      <c r="JK96" s="31"/>
      <c r="JL96" s="31"/>
      <c r="JM96" s="31"/>
      <c r="JN96" s="31"/>
      <c r="JO96" s="31"/>
      <c r="JP96" s="31"/>
      <c r="JQ96" s="31"/>
      <c r="JR96" s="31"/>
      <c r="JS96" s="31"/>
      <c r="JT96" s="31"/>
      <c r="JU96" s="31"/>
      <c r="JV96" s="31"/>
      <c r="JW96" s="31"/>
      <c r="JX96" s="31"/>
      <c r="JY96" s="31"/>
      <c r="JZ96" s="31"/>
      <c r="KA96" s="31"/>
      <c r="KB96" s="31"/>
      <c r="KC96" s="31"/>
      <c r="KD96" s="31"/>
      <c r="KE96" s="31"/>
      <c r="KF96" s="31"/>
      <c r="KG96" s="31"/>
      <c r="KH96" s="31"/>
      <c r="KI96" s="31"/>
      <c r="KJ96" s="31"/>
      <c r="KK96" s="31"/>
      <c r="KL96" s="31"/>
      <c r="KM96" s="31"/>
      <c r="KN96" s="31"/>
      <c r="KO96" s="31"/>
      <c r="KP96" s="31"/>
      <c r="KQ96" s="31"/>
      <c r="KR96" s="31"/>
      <c r="KS96" s="31"/>
      <c r="KT96" s="31"/>
      <c r="KU96" s="31"/>
      <c r="KV96" s="31"/>
      <c r="KW96" s="31"/>
      <c r="KX96" s="31"/>
      <c r="KY96" s="31"/>
      <c r="KZ96" s="31"/>
      <c r="LA96" s="31"/>
      <c r="LB96" s="31"/>
      <c r="LC96" s="31"/>
      <c r="LD96" s="31"/>
      <c r="LE96" s="31"/>
      <c r="LF96" s="31"/>
      <c r="LG96" s="31"/>
      <c r="LH96" s="31"/>
      <c r="LI96" s="31"/>
      <c r="LJ96" s="31"/>
      <c r="LK96" s="31"/>
      <c r="LL96" s="31"/>
      <c r="LM96" s="31"/>
      <c r="LN96" s="31"/>
      <c r="LO96" s="31"/>
      <c r="LP96" s="31"/>
      <c r="LQ96" s="31"/>
      <c r="LR96" s="31"/>
      <c r="LS96" s="31"/>
      <c r="LT96" s="31"/>
      <c r="LU96" s="31"/>
      <c r="LV96" s="31"/>
      <c r="LW96" s="31"/>
      <c r="LX96" s="31"/>
      <c r="LY96" s="31"/>
      <c r="LZ96" s="31"/>
      <c r="MA96" s="31"/>
      <c r="MB96" s="31"/>
      <c r="MC96" s="31"/>
      <c r="MD96" s="31"/>
      <c r="ME96" s="31"/>
      <c r="MF96" s="31"/>
    </row>
    <row r="97" spans="1:344" ht="50.25" customHeight="1">
      <c r="B97" s="88" t="str">
        <f>'OKR '!D174</f>
        <v>Instituir governança local de dados</v>
      </c>
      <c r="C97" s="88" t="str">
        <f>'OKR '!E174</f>
        <v>Grupo de trabalho, NSDIGI, Gestores Municipais</v>
      </c>
      <c r="D97" s="20"/>
      <c r="E97" s="125">
        <f>'OKR '!G174</f>
        <v>46055</v>
      </c>
      <c r="F97" s="125">
        <f>'OKR '!H174</f>
        <v>46112</v>
      </c>
      <c r="G97" s="14"/>
      <c r="H97" s="14">
        <f t="shared" ca="1" si="332"/>
        <v>58</v>
      </c>
      <c r="I97" s="31"/>
      <c r="J97" s="31"/>
      <c r="K97" s="31"/>
      <c r="L97" s="31"/>
      <c r="M97" s="31"/>
      <c r="N97" s="31"/>
      <c r="O97" s="31"/>
      <c r="P97" s="31"/>
      <c r="Q97" s="31"/>
      <c r="R97" s="31"/>
      <c r="S97" s="31"/>
      <c r="T97" s="31"/>
      <c r="U97" s="32"/>
      <c r="V97" s="32"/>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c r="EG97" s="31"/>
      <c r="EH97" s="31"/>
      <c r="EI97" s="31"/>
      <c r="EJ97" s="31"/>
      <c r="EK97" s="31"/>
      <c r="EL97" s="31"/>
      <c r="EM97" s="31"/>
      <c r="EN97" s="31"/>
      <c r="EO97" s="31"/>
      <c r="EP97" s="31"/>
      <c r="EQ97" s="31"/>
      <c r="ER97" s="31"/>
      <c r="ES97" s="31"/>
      <c r="ET97" s="31"/>
      <c r="EU97" s="31"/>
      <c r="EV97" s="31"/>
      <c r="EW97" s="31"/>
      <c r="EX97" s="31"/>
      <c r="EY97" s="31"/>
      <c r="EZ97" s="31"/>
      <c r="FA97" s="31"/>
      <c r="FB97" s="31"/>
      <c r="FC97" s="31"/>
      <c r="FD97" s="31"/>
      <c r="FE97" s="31"/>
      <c r="FF97" s="31"/>
      <c r="FG97" s="31"/>
      <c r="FH97" s="31"/>
      <c r="FI97" s="31"/>
      <c r="FJ97" s="31"/>
      <c r="FK97" s="31"/>
      <c r="FL97" s="31"/>
      <c r="FM97" s="31"/>
      <c r="FN97" s="31"/>
      <c r="FO97" s="31"/>
      <c r="FP97" s="31"/>
      <c r="FQ97" s="31"/>
      <c r="FR97" s="31"/>
      <c r="FS97" s="31"/>
      <c r="FT97" s="31"/>
      <c r="FU97" s="31"/>
      <c r="FV97" s="31"/>
      <c r="FW97" s="31"/>
      <c r="FX97" s="31"/>
      <c r="FY97" s="31"/>
      <c r="FZ97" s="31"/>
      <c r="GA97" s="31"/>
      <c r="GB97" s="31"/>
      <c r="GC97" s="31"/>
      <c r="GD97" s="31"/>
      <c r="GE97" s="31"/>
      <c r="GF97" s="31"/>
      <c r="GG97" s="31"/>
      <c r="GH97" s="31"/>
      <c r="GI97" s="31"/>
      <c r="GJ97" s="31"/>
      <c r="GK97" s="31"/>
      <c r="GL97" s="31"/>
      <c r="GM97" s="31"/>
      <c r="GN97" s="31"/>
      <c r="GO97" s="31"/>
      <c r="GP97" s="31"/>
      <c r="GQ97" s="31"/>
      <c r="GR97" s="31"/>
      <c r="GS97" s="31"/>
      <c r="GT97" s="31"/>
      <c r="GU97" s="31"/>
      <c r="GV97" s="31"/>
      <c r="GW97" s="31"/>
      <c r="GX97" s="31"/>
      <c r="GY97" s="31"/>
      <c r="GZ97" s="31"/>
      <c r="HA97" s="31"/>
      <c r="HB97" s="31"/>
      <c r="HC97" s="31"/>
      <c r="HD97" s="31"/>
      <c r="HE97" s="31"/>
      <c r="HF97" s="31"/>
      <c r="HG97" s="31"/>
      <c r="HH97" s="31"/>
      <c r="HI97" s="31"/>
      <c r="HJ97" s="31"/>
      <c r="HK97" s="31"/>
      <c r="HL97" s="31"/>
      <c r="HM97" s="31"/>
      <c r="HN97" s="31"/>
      <c r="HO97" s="31"/>
      <c r="HP97" s="31"/>
      <c r="HQ97" s="31"/>
      <c r="HR97" s="31"/>
      <c r="HS97" s="31"/>
      <c r="HT97" s="31"/>
      <c r="HU97" s="31"/>
      <c r="HV97" s="31"/>
      <c r="HW97" s="31"/>
      <c r="HX97" s="31"/>
      <c r="HY97" s="31"/>
      <c r="HZ97" s="31"/>
      <c r="IA97" s="31"/>
      <c r="IB97" s="31"/>
      <c r="IC97" s="31"/>
      <c r="ID97" s="31"/>
      <c r="IE97" s="31"/>
      <c r="IF97" s="31"/>
      <c r="IG97" s="31"/>
      <c r="IH97" s="31"/>
      <c r="II97" s="31"/>
      <c r="IJ97" s="31"/>
      <c r="IK97" s="31"/>
      <c r="IL97" s="31"/>
      <c r="IM97" s="31"/>
      <c r="IN97" s="31"/>
      <c r="IO97" s="31"/>
      <c r="IP97" s="31"/>
      <c r="IQ97" s="31"/>
      <c r="IR97" s="31"/>
      <c r="IS97" s="31"/>
      <c r="IT97" s="31"/>
      <c r="IU97" s="31"/>
      <c r="IV97" s="31"/>
      <c r="IW97" s="31"/>
      <c r="IX97" s="31"/>
      <c r="IY97" s="31"/>
      <c r="IZ97" s="31"/>
      <c r="JA97" s="31"/>
      <c r="JB97" s="31"/>
      <c r="JC97" s="31"/>
      <c r="JD97" s="31"/>
      <c r="JE97" s="31"/>
      <c r="JF97" s="31"/>
      <c r="JG97" s="31"/>
      <c r="JH97" s="31"/>
      <c r="JI97" s="31"/>
      <c r="JJ97" s="31"/>
      <c r="JK97" s="31"/>
      <c r="JL97" s="31"/>
      <c r="JM97" s="31"/>
      <c r="JN97" s="31"/>
      <c r="JO97" s="31"/>
      <c r="JP97" s="31"/>
      <c r="JQ97" s="31"/>
      <c r="JR97" s="31"/>
      <c r="JS97" s="31"/>
      <c r="JT97" s="31"/>
      <c r="JU97" s="31"/>
      <c r="JV97" s="31"/>
      <c r="JW97" s="31"/>
      <c r="JX97" s="31"/>
      <c r="JY97" s="31"/>
      <c r="JZ97" s="31"/>
      <c r="KA97" s="31"/>
      <c r="KB97" s="31"/>
      <c r="KC97" s="31"/>
      <c r="KD97" s="31"/>
      <c r="KE97" s="31"/>
      <c r="KF97" s="31"/>
      <c r="KG97" s="31"/>
      <c r="KH97" s="31"/>
      <c r="KI97" s="31"/>
      <c r="KJ97" s="31"/>
      <c r="KK97" s="31"/>
      <c r="KL97" s="31"/>
      <c r="KM97" s="31"/>
      <c r="KN97" s="31"/>
      <c r="KO97" s="31"/>
      <c r="KP97" s="31"/>
      <c r="KQ97" s="31"/>
      <c r="KR97" s="31"/>
      <c r="KS97" s="31"/>
      <c r="KT97" s="31"/>
      <c r="KU97" s="31"/>
      <c r="KV97" s="31"/>
      <c r="KW97" s="31"/>
      <c r="KX97" s="31"/>
      <c r="KY97" s="31"/>
      <c r="KZ97" s="31"/>
      <c r="LA97" s="31"/>
      <c r="LB97" s="31"/>
      <c r="LC97" s="31"/>
      <c r="LD97" s="31"/>
      <c r="LE97" s="31"/>
      <c r="LF97" s="31"/>
      <c r="LG97" s="31"/>
      <c r="LH97" s="31"/>
      <c r="LI97" s="31"/>
      <c r="LJ97" s="31"/>
      <c r="LK97" s="31"/>
      <c r="LL97" s="31"/>
      <c r="LM97" s="31"/>
      <c r="LN97" s="31"/>
      <c r="LO97" s="31"/>
      <c r="LP97" s="31"/>
      <c r="LQ97" s="31"/>
      <c r="LR97" s="31"/>
      <c r="LS97" s="31"/>
      <c r="LT97" s="31"/>
      <c r="LU97" s="31"/>
      <c r="LV97" s="31"/>
      <c r="LW97" s="31"/>
      <c r="LX97" s="31"/>
      <c r="LY97" s="31"/>
      <c r="LZ97" s="31"/>
      <c r="MA97" s="31"/>
      <c r="MB97" s="31"/>
      <c r="MC97" s="31"/>
      <c r="MD97" s="31"/>
      <c r="ME97" s="31"/>
      <c r="MF97" s="31"/>
    </row>
    <row r="98" spans="1:344" ht="52.5" customHeight="1">
      <c r="B98" s="88" t="str">
        <f>'OKR '!D175</f>
        <v>Definir fluxos de decisão e escalonamento</v>
      </c>
      <c r="C98" s="88" t="str">
        <f>'OKR '!E175</f>
        <v>Comitê de Governança</v>
      </c>
      <c r="D98" s="20"/>
      <c r="E98" s="125">
        <f>'OKR '!G175</f>
        <v>46055</v>
      </c>
      <c r="F98" s="125">
        <f>'OKR '!H175</f>
        <v>46112</v>
      </c>
      <c r="G98" s="14"/>
      <c r="H98" s="14">
        <f t="shared" ca="1" si="332"/>
        <v>58</v>
      </c>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c r="EG98" s="31"/>
      <c r="EH98" s="31"/>
      <c r="EI98" s="31"/>
      <c r="EJ98" s="31"/>
      <c r="EK98" s="31"/>
      <c r="EL98" s="31"/>
      <c r="EM98" s="31"/>
      <c r="EN98" s="31"/>
      <c r="EO98" s="31"/>
      <c r="EP98" s="31"/>
      <c r="EQ98" s="31"/>
      <c r="ER98" s="31"/>
      <c r="ES98" s="31"/>
      <c r="ET98" s="31"/>
      <c r="EU98" s="31"/>
      <c r="EV98" s="31"/>
      <c r="EW98" s="31"/>
      <c r="EX98" s="31"/>
      <c r="EY98" s="31"/>
      <c r="EZ98" s="31"/>
      <c r="FA98" s="31"/>
      <c r="FB98" s="31"/>
      <c r="FC98" s="31"/>
      <c r="FD98" s="31"/>
      <c r="FE98" s="31"/>
      <c r="FF98" s="31"/>
      <c r="FG98" s="31"/>
      <c r="FH98" s="31"/>
      <c r="FI98" s="31"/>
      <c r="FJ98" s="31"/>
      <c r="FK98" s="31"/>
      <c r="FL98" s="31"/>
      <c r="FM98" s="31"/>
      <c r="FN98" s="31"/>
      <c r="FO98" s="31"/>
      <c r="FP98" s="31"/>
      <c r="FQ98" s="31"/>
      <c r="FR98" s="31"/>
      <c r="FS98" s="31"/>
      <c r="FT98" s="31"/>
      <c r="FU98" s="31"/>
      <c r="FV98" s="31"/>
      <c r="FW98" s="31"/>
      <c r="FX98" s="31"/>
      <c r="FY98" s="31"/>
      <c r="FZ98" s="31"/>
      <c r="GA98" s="31"/>
      <c r="GB98" s="31"/>
      <c r="GC98" s="31"/>
      <c r="GD98" s="31"/>
      <c r="GE98" s="31"/>
      <c r="GF98" s="31"/>
      <c r="GG98" s="31"/>
      <c r="GH98" s="31"/>
      <c r="GI98" s="31"/>
      <c r="GJ98" s="31"/>
      <c r="GK98" s="31"/>
      <c r="GL98" s="31"/>
      <c r="GM98" s="31"/>
      <c r="GN98" s="31"/>
      <c r="GO98" s="31"/>
      <c r="GP98" s="31"/>
      <c r="GQ98" s="31"/>
      <c r="GR98" s="31"/>
      <c r="GS98" s="31"/>
      <c r="GT98" s="31"/>
      <c r="GU98" s="31"/>
      <c r="GV98" s="31"/>
      <c r="GW98" s="31"/>
      <c r="GX98" s="31"/>
      <c r="GY98" s="31"/>
      <c r="GZ98" s="31"/>
      <c r="HA98" s="31"/>
      <c r="HB98" s="31"/>
      <c r="HC98" s="31"/>
      <c r="HD98" s="31"/>
      <c r="HE98" s="31"/>
      <c r="HF98" s="31"/>
      <c r="HG98" s="31"/>
      <c r="HH98" s="31"/>
      <c r="HI98" s="31"/>
      <c r="HJ98" s="31"/>
      <c r="HK98" s="31"/>
      <c r="HL98" s="31"/>
      <c r="HM98" s="31"/>
      <c r="HN98" s="31"/>
      <c r="HO98" s="31"/>
      <c r="HP98" s="31"/>
      <c r="HQ98" s="31"/>
      <c r="HR98" s="31"/>
      <c r="HS98" s="31"/>
      <c r="HT98" s="31"/>
      <c r="HU98" s="31"/>
      <c r="HV98" s="31"/>
      <c r="HW98" s="31"/>
      <c r="HX98" s="31"/>
      <c r="HY98" s="31"/>
      <c r="HZ98" s="31"/>
      <c r="IA98" s="31"/>
      <c r="IB98" s="31"/>
      <c r="IC98" s="31"/>
      <c r="ID98" s="31"/>
      <c r="IE98" s="31"/>
      <c r="IF98" s="31"/>
      <c r="IG98" s="31"/>
      <c r="IH98" s="31"/>
      <c r="II98" s="31"/>
      <c r="IJ98" s="31"/>
      <c r="IK98" s="31"/>
      <c r="IL98" s="31"/>
      <c r="IM98" s="31"/>
      <c r="IN98" s="31"/>
      <c r="IO98" s="31"/>
      <c r="IP98" s="31"/>
      <c r="IQ98" s="31"/>
      <c r="IR98" s="31"/>
      <c r="IS98" s="31"/>
      <c r="IT98" s="31"/>
      <c r="IU98" s="31"/>
      <c r="IV98" s="31"/>
      <c r="IW98" s="31"/>
      <c r="IX98" s="31"/>
      <c r="IY98" s="31"/>
      <c r="IZ98" s="31"/>
      <c r="JA98" s="31"/>
      <c r="JB98" s="31"/>
      <c r="JC98" s="31"/>
      <c r="JD98" s="31"/>
      <c r="JE98" s="31"/>
      <c r="JF98" s="31"/>
      <c r="JG98" s="31"/>
      <c r="JH98" s="31"/>
      <c r="JI98" s="31"/>
      <c r="JJ98" s="31"/>
      <c r="JK98" s="31"/>
      <c r="JL98" s="31"/>
      <c r="JM98" s="31"/>
      <c r="JN98" s="31"/>
      <c r="JO98" s="31"/>
      <c r="JP98" s="31"/>
      <c r="JQ98" s="31"/>
      <c r="JR98" s="31"/>
      <c r="JS98" s="31"/>
      <c r="JT98" s="31"/>
      <c r="JU98" s="31"/>
      <c r="JV98" s="31"/>
      <c r="JW98" s="31"/>
      <c r="JX98" s="31"/>
      <c r="JY98" s="31"/>
      <c r="JZ98" s="31"/>
      <c r="KA98" s="31"/>
      <c r="KB98" s="31"/>
      <c r="KC98" s="31"/>
      <c r="KD98" s="31"/>
      <c r="KE98" s="31"/>
      <c r="KF98" s="31"/>
      <c r="KG98" s="31"/>
      <c r="KH98" s="31"/>
      <c r="KI98" s="31"/>
      <c r="KJ98" s="31"/>
      <c r="KK98" s="31"/>
      <c r="KL98" s="31"/>
      <c r="KM98" s="31"/>
      <c r="KN98" s="31"/>
      <c r="KO98" s="31"/>
      <c r="KP98" s="31"/>
      <c r="KQ98" s="31"/>
      <c r="KR98" s="31"/>
      <c r="KS98" s="31"/>
      <c r="KT98" s="31"/>
      <c r="KU98" s="31"/>
      <c r="KV98" s="31"/>
      <c r="KW98" s="31"/>
      <c r="KX98" s="31"/>
      <c r="KY98" s="31"/>
      <c r="KZ98" s="31"/>
      <c r="LA98" s="31"/>
      <c r="LB98" s="31"/>
      <c r="LC98" s="31"/>
      <c r="LD98" s="31"/>
      <c r="LE98" s="31"/>
      <c r="LF98" s="31"/>
      <c r="LG98" s="31"/>
      <c r="LH98" s="31"/>
      <c r="LI98" s="31"/>
      <c r="LJ98" s="31"/>
      <c r="LK98" s="31"/>
      <c r="LL98" s="31"/>
      <c r="LM98" s="31"/>
      <c r="LN98" s="31"/>
      <c r="LO98" s="31"/>
      <c r="LP98" s="31"/>
      <c r="LQ98" s="31"/>
      <c r="LR98" s="31"/>
      <c r="LS98" s="31"/>
      <c r="LT98" s="31"/>
      <c r="LU98" s="31"/>
      <c r="LV98" s="31"/>
      <c r="LW98" s="31"/>
      <c r="LX98" s="31"/>
      <c r="LY98" s="31"/>
      <c r="LZ98" s="31"/>
      <c r="MA98" s="31"/>
      <c r="MB98" s="31"/>
      <c r="MC98" s="31"/>
      <c r="MD98" s="31"/>
      <c r="ME98" s="31"/>
      <c r="MF98" s="31"/>
    </row>
    <row r="99" spans="1:344" ht="39" customHeight="1">
      <c r="B99" s="88" t="str">
        <f>'OKR '!D176</f>
        <v>Estabelecer fluxo de comunicação com a regional e o estado</v>
      </c>
      <c r="C99" s="88" t="str">
        <f>'OKR '!E176</f>
        <v>Comitê de Governança</v>
      </c>
      <c r="D99" s="20"/>
      <c r="E99" s="125">
        <f>'OKR '!G176</f>
        <v>46055</v>
      </c>
      <c r="F99" s="125">
        <f>'OKR '!H176</f>
        <v>46112</v>
      </c>
      <c r="G99" s="14"/>
      <c r="H99" s="14">
        <f t="shared" ca="1" si="332"/>
        <v>58</v>
      </c>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c r="EG99" s="31"/>
      <c r="EH99" s="31"/>
      <c r="EI99" s="31"/>
      <c r="EJ99" s="31"/>
      <c r="EK99" s="31"/>
      <c r="EL99" s="31"/>
      <c r="EM99" s="31"/>
      <c r="EN99" s="31"/>
      <c r="EO99" s="31"/>
      <c r="EP99" s="31"/>
      <c r="EQ99" s="31"/>
      <c r="ER99" s="31"/>
      <c r="ES99" s="31"/>
      <c r="ET99" s="31"/>
      <c r="EU99" s="31"/>
      <c r="EV99" s="31"/>
      <c r="EW99" s="31"/>
      <c r="EX99" s="31"/>
      <c r="EY99" s="31"/>
      <c r="EZ99" s="31"/>
      <c r="FA99" s="31"/>
      <c r="FB99" s="31"/>
      <c r="FC99" s="31"/>
      <c r="FD99" s="31"/>
      <c r="FE99" s="31"/>
      <c r="FF99" s="31"/>
      <c r="FG99" s="31"/>
      <c r="FH99" s="31"/>
      <c r="FI99" s="31"/>
      <c r="FJ99" s="31"/>
      <c r="FK99" s="31"/>
      <c r="FL99" s="31"/>
      <c r="FM99" s="31"/>
      <c r="FN99" s="31"/>
      <c r="FO99" s="31"/>
      <c r="FP99" s="31"/>
      <c r="FQ99" s="31"/>
      <c r="FR99" s="31"/>
      <c r="FS99" s="31"/>
      <c r="FT99" s="31"/>
      <c r="FU99" s="31"/>
      <c r="FV99" s="31"/>
      <c r="FW99" s="31"/>
      <c r="FX99" s="31"/>
      <c r="FY99" s="31"/>
      <c r="FZ99" s="31"/>
      <c r="GA99" s="31"/>
      <c r="GB99" s="31"/>
      <c r="GC99" s="31"/>
      <c r="GD99" s="31"/>
      <c r="GE99" s="31"/>
      <c r="GF99" s="31"/>
      <c r="GG99" s="31"/>
      <c r="GH99" s="31"/>
      <c r="GI99" s="31"/>
      <c r="GJ99" s="31"/>
      <c r="GK99" s="31"/>
      <c r="GL99" s="31"/>
      <c r="GM99" s="31"/>
      <c r="GN99" s="31"/>
      <c r="GO99" s="31"/>
      <c r="GP99" s="31"/>
      <c r="GQ99" s="31"/>
      <c r="GR99" s="31"/>
      <c r="GS99" s="31"/>
      <c r="GT99" s="31"/>
      <c r="GU99" s="31"/>
      <c r="GV99" s="31"/>
      <c r="GW99" s="31"/>
      <c r="GX99" s="31"/>
      <c r="GY99" s="31"/>
      <c r="GZ99" s="31"/>
      <c r="HA99" s="31"/>
      <c r="HB99" s="31"/>
      <c r="HC99" s="31"/>
      <c r="HD99" s="31"/>
      <c r="HE99" s="31"/>
      <c r="HF99" s="31"/>
      <c r="HG99" s="31"/>
      <c r="HH99" s="31"/>
      <c r="HI99" s="31"/>
      <c r="HJ99" s="31"/>
      <c r="HK99" s="31"/>
      <c r="HL99" s="31"/>
      <c r="HM99" s="31"/>
      <c r="HN99" s="31"/>
      <c r="HO99" s="31"/>
      <c r="HP99" s="31"/>
      <c r="HQ99" s="31"/>
      <c r="HR99" s="31"/>
      <c r="HS99" s="31"/>
      <c r="HT99" s="31"/>
      <c r="HU99" s="31"/>
      <c r="HV99" s="31"/>
      <c r="HW99" s="31"/>
      <c r="HX99" s="31"/>
      <c r="HY99" s="31"/>
      <c r="HZ99" s="31"/>
      <c r="IA99" s="31"/>
      <c r="IB99" s="31"/>
      <c r="IC99" s="31"/>
      <c r="ID99" s="31"/>
      <c r="IE99" s="31"/>
      <c r="IF99" s="31"/>
      <c r="IG99" s="31"/>
      <c r="IH99" s="31"/>
      <c r="II99" s="31"/>
      <c r="IJ99" s="31"/>
      <c r="IK99" s="31"/>
      <c r="IL99" s="31"/>
      <c r="IM99" s="31"/>
      <c r="IN99" s="31"/>
      <c r="IO99" s="31"/>
      <c r="IP99" s="31"/>
      <c r="IQ99" s="31"/>
      <c r="IR99" s="31"/>
      <c r="IS99" s="31"/>
      <c r="IT99" s="31"/>
      <c r="IU99" s="31"/>
      <c r="IV99" s="31"/>
      <c r="IW99" s="31"/>
      <c r="IX99" s="31"/>
      <c r="IY99" s="31"/>
      <c r="IZ99" s="31"/>
      <c r="JA99" s="31"/>
      <c r="JB99" s="31"/>
      <c r="JC99" s="31"/>
      <c r="JD99" s="31"/>
      <c r="JE99" s="31"/>
      <c r="JF99" s="31"/>
      <c r="JG99" s="31"/>
      <c r="JH99" s="31"/>
      <c r="JI99" s="31"/>
      <c r="JJ99" s="31"/>
      <c r="JK99" s="31"/>
      <c r="JL99" s="31"/>
      <c r="JM99" s="31"/>
      <c r="JN99" s="31"/>
      <c r="JO99" s="31"/>
      <c r="JP99" s="31"/>
      <c r="JQ99" s="31"/>
      <c r="JR99" s="31"/>
      <c r="JS99" s="31"/>
      <c r="JT99" s="31"/>
      <c r="JU99" s="31"/>
      <c r="JV99" s="31"/>
      <c r="JW99" s="31"/>
      <c r="JX99" s="31"/>
      <c r="JY99" s="31"/>
      <c r="JZ99" s="31"/>
      <c r="KA99" s="31"/>
      <c r="KB99" s="31"/>
      <c r="KC99" s="31"/>
      <c r="KD99" s="31"/>
      <c r="KE99" s="31"/>
      <c r="KF99" s="31"/>
      <c r="KG99" s="31"/>
      <c r="KH99" s="31"/>
      <c r="KI99" s="31"/>
      <c r="KJ99" s="31"/>
      <c r="KK99" s="31"/>
      <c r="KL99" s="31"/>
      <c r="KM99" s="31"/>
      <c r="KN99" s="31"/>
      <c r="KO99" s="31"/>
      <c r="KP99" s="31"/>
      <c r="KQ99" s="31"/>
      <c r="KR99" s="31"/>
      <c r="KS99" s="31"/>
      <c r="KT99" s="31"/>
      <c r="KU99" s="31"/>
      <c r="KV99" s="31"/>
      <c r="KW99" s="31"/>
      <c r="KX99" s="31"/>
      <c r="KY99" s="31"/>
      <c r="KZ99" s="31"/>
      <c r="LA99" s="31"/>
      <c r="LB99" s="31"/>
      <c r="LC99" s="31"/>
      <c r="LD99" s="31"/>
      <c r="LE99" s="31"/>
      <c r="LF99" s="31"/>
      <c r="LG99" s="31"/>
      <c r="LH99" s="31"/>
      <c r="LI99" s="31"/>
      <c r="LJ99" s="31"/>
      <c r="LK99" s="31"/>
      <c r="LL99" s="31"/>
      <c r="LM99" s="31"/>
      <c r="LN99" s="31"/>
      <c r="LO99" s="31"/>
      <c r="LP99" s="31"/>
      <c r="LQ99" s="31"/>
      <c r="LR99" s="31"/>
      <c r="LS99" s="31"/>
      <c r="LT99" s="31"/>
      <c r="LU99" s="31"/>
      <c r="LV99" s="31"/>
      <c r="LW99" s="31"/>
      <c r="LX99" s="31"/>
      <c r="LY99" s="31"/>
      <c r="LZ99" s="31"/>
      <c r="MA99" s="31"/>
      <c r="MB99" s="31"/>
      <c r="MC99" s="31"/>
      <c r="MD99" s="31"/>
      <c r="ME99" s="31"/>
      <c r="MF99" s="31"/>
    </row>
    <row r="100" spans="1:344" ht="50.25" customHeight="1">
      <c r="B100" s="88" t="str">
        <f>'OKR '!D177</f>
        <v>Definir instância mínima de decisão (ponto focal ou comitê)</v>
      </c>
      <c r="C100" s="88" t="str">
        <f>'OKR '!E177</f>
        <v>Gestores Municipais</v>
      </c>
      <c r="D100" s="20"/>
      <c r="E100" s="125">
        <f>'OKR '!G177</f>
        <v>46055</v>
      </c>
      <c r="F100" s="125">
        <f>'OKR '!H177</f>
        <v>46112</v>
      </c>
      <c r="G100" s="14"/>
      <c r="H100" s="14"/>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c r="CY100" s="31"/>
      <c r="CZ100" s="31"/>
      <c r="DA100" s="31"/>
      <c r="DB100" s="31"/>
      <c r="DC100" s="31"/>
      <c r="DD100" s="31"/>
      <c r="DE100" s="31"/>
      <c r="DF100" s="31"/>
      <c r="DG100" s="31"/>
      <c r="DH100" s="31"/>
      <c r="DI100" s="31"/>
      <c r="DJ100" s="31"/>
      <c r="DK100" s="31"/>
      <c r="DL100" s="31"/>
      <c r="DM100" s="31"/>
      <c r="DN100" s="31"/>
      <c r="DO100" s="31"/>
      <c r="DP100" s="31"/>
      <c r="DQ100" s="31"/>
      <c r="DR100" s="31"/>
      <c r="DS100" s="31"/>
      <c r="DT100" s="31"/>
      <c r="DU100" s="31"/>
      <c r="DV100" s="31"/>
      <c r="DW100" s="31"/>
      <c r="DX100" s="31"/>
      <c r="DY100" s="31"/>
      <c r="DZ100" s="31"/>
      <c r="EA100" s="31"/>
      <c r="EB100" s="31"/>
      <c r="EC100" s="31"/>
      <c r="ED100" s="31"/>
      <c r="EE100" s="31"/>
      <c r="EF100" s="31"/>
      <c r="EG100" s="31"/>
      <c r="EH100" s="31"/>
      <c r="EI100" s="31"/>
      <c r="EJ100" s="31"/>
      <c r="EK100" s="31"/>
      <c r="EL100" s="31"/>
      <c r="EM100" s="31"/>
      <c r="EN100" s="31"/>
      <c r="EO100" s="31"/>
      <c r="EP100" s="31"/>
      <c r="EQ100" s="31"/>
      <c r="ER100" s="31"/>
      <c r="ES100" s="31"/>
      <c r="ET100" s="31"/>
      <c r="EU100" s="31"/>
      <c r="EV100" s="31"/>
      <c r="EW100" s="31"/>
      <c r="EX100" s="31"/>
      <c r="EY100" s="31"/>
      <c r="EZ100" s="31"/>
      <c r="FA100" s="31"/>
      <c r="FB100" s="31"/>
      <c r="FC100" s="31"/>
      <c r="FD100" s="31"/>
      <c r="FE100" s="31"/>
      <c r="FF100" s="31"/>
      <c r="FG100" s="31"/>
      <c r="FH100" s="31"/>
      <c r="FI100" s="31"/>
      <c r="FJ100" s="31"/>
      <c r="FK100" s="31"/>
      <c r="FL100" s="31"/>
      <c r="FM100" s="31"/>
      <c r="FN100" s="31"/>
      <c r="FO100" s="31"/>
      <c r="FP100" s="31"/>
      <c r="FQ100" s="31"/>
      <c r="FR100" s="31"/>
      <c r="FS100" s="31"/>
      <c r="FT100" s="31"/>
      <c r="FU100" s="31"/>
      <c r="FV100" s="31"/>
      <c r="FW100" s="31"/>
      <c r="FX100" s="31"/>
      <c r="FY100" s="31"/>
      <c r="FZ100" s="31"/>
      <c r="GA100" s="31"/>
      <c r="GB100" s="31"/>
      <c r="GC100" s="31"/>
      <c r="GD100" s="31"/>
      <c r="GE100" s="31"/>
      <c r="GF100" s="31"/>
      <c r="GG100" s="31"/>
      <c r="GH100" s="31"/>
      <c r="GI100" s="31"/>
      <c r="GJ100" s="31"/>
      <c r="GK100" s="31"/>
      <c r="GL100" s="31"/>
      <c r="GM100" s="31"/>
      <c r="GN100" s="31"/>
      <c r="GO100" s="31"/>
      <c r="GP100" s="31"/>
      <c r="GQ100" s="31"/>
      <c r="GR100" s="31"/>
      <c r="GS100" s="31"/>
      <c r="GT100" s="31"/>
      <c r="GU100" s="31"/>
      <c r="GV100" s="31"/>
      <c r="GW100" s="31"/>
      <c r="GX100" s="31"/>
      <c r="GY100" s="31"/>
      <c r="GZ100" s="31"/>
      <c r="HA100" s="31"/>
      <c r="HB100" s="31"/>
      <c r="HC100" s="31"/>
      <c r="HD100" s="31"/>
      <c r="HE100" s="31"/>
      <c r="HF100" s="31"/>
      <c r="HG100" s="31"/>
      <c r="HH100" s="31"/>
      <c r="HI100" s="31"/>
      <c r="HJ100" s="31"/>
      <c r="HK100" s="31"/>
      <c r="HL100" s="31"/>
      <c r="HM100" s="31"/>
      <c r="HN100" s="31"/>
      <c r="HO100" s="31"/>
      <c r="HP100" s="31"/>
      <c r="HQ100" s="31"/>
      <c r="HR100" s="31"/>
      <c r="HS100" s="31"/>
      <c r="HT100" s="31"/>
      <c r="HU100" s="31"/>
      <c r="HV100" s="31"/>
      <c r="HW100" s="31"/>
      <c r="HX100" s="31"/>
      <c r="HY100" s="31"/>
      <c r="HZ100" s="31"/>
      <c r="IA100" s="31"/>
      <c r="IB100" s="31"/>
      <c r="IC100" s="31"/>
      <c r="ID100" s="31"/>
      <c r="IE100" s="31"/>
      <c r="IF100" s="31"/>
      <c r="IG100" s="31"/>
      <c r="IH100" s="31"/>
      <c r="II100" s="31"/>
      <c r="IJ100" s="31"/>
      <c r="IK100" s="31"/>
      <c r="IL100" s="31"/>
      <c r="IM100" s="31"/>
      <c r="IN100" s="31"/>
      <c r="IO100" s="31"/>
      <c r="IP100" s="31"/>
      <c r="IQ100" s="31"/>
      <c r="IR100" s="31"/>
      <c r="IS100" s="31"/>
      <c r="IT100" s="31"/>
      <c r="IU100" s="31"/>
      <c r="IV100" s="31"/>
      <c r="IW100" s="31"/>
      <c r="IX100" s="31"/>
      <c r="IY100" s="31"/>
      <c r="IZ100" s="31"/>
      <c r="JA100" s="31"/>
      <c r="JB100" s="31"/>
      <c r="JC100" s="31"/>
      <c r="JD100" s="31"/>
      <c r="JE100" s="31"/>
      <c r="JF100" s="31"/>
      <c r="JG100" s="31"/>
      <c r="JH100" s="31"/>
      <c r="JI100" s="31"/>
      <c r="JJ100" s="31"/>
      <c r="JK100" s="31"/>
      <c r="JL100" s="31"/>
      <c r="JM100" s="31"/>
      <c r="JN100" s="31"/>
      <c r="JO100" s="31"/>
      <c r="JP100" s="31"/>
      <c r="JQ100" s="31"/>
      <c r="JR100" s="31"/>
      <c r="JS100" s="31"/>
      <c r="JT100" s="31"/>
      <c r="JU100" s="31"/>
      <c r="JV100" s="31"/>
      <c r="JW100" s="31"/>
      <c r="JX100" s="31"/>
      <c r="JY100" s="31"/>
      <c r="JZ100" s="31"/>
      <c r="KA100" s="31"/>
      <c r="KB100" s="31"/>
      <c r="KC100" s="31"/>
      <c r="KD100" s="31"/>
      <c r="KE100" s="31"/>
      <c r="KF100" s="31"/>
      <c r="KG100" s="31"/>
      <c r="KH100" s="31"/>
      <c r="KI100" s="31"/>
      <c r="KJ100" s="31"/>
      <c r="KK100" s="31"/>
      <c r="KL100" s="31"/>
      <c r="KM100" s="31"/>
      <c r="KN100" s="31"/>
      <c r="KO100" s="31"/>
      <c r="KP100" s="31"/>
      <c r="KQ100" s="31"/>
      <c r="KR100" s="31"/>
      <c r="KS100" s="31"/>
      <c r="KT100" s="31"/>
      <c r="KU100" s="31"/>
      <c r="KV100" s="31"/>
      <c r="KW100" s="31"/>
      <c r="KX100" s="31"/>
      <c r="KY100" s="31"/>
      <c r="KZ100" s="31"/>
      <c r="LA100" s="31"/>
      <c r="LB100" s="31"/>
      <c r="LC100" s="31"/>
      <c r="LD100" s="31"/>
      <c r="LE100" s="31"/>
      <c r="LF100" s="31"/>
      <c r="LG100" s="31"/>
      <c r="LH100" s="31"/>
      <c r="LI100" s="31"/>
      <c r="LJ100" s="31"/>
      <c r="LK100" s="31"/>
      <c r="LL100" s="31"/>
      <c r="LM100" s="31"/>
      <c r="LN100" s="31"/>
      <c r="LO100" s="31"/>
      <c r="LP100" s="31"/>
      <c r="LQ100" s="31"/>
      <c r="LR100" s="31"/>
      <c r="LS100" s="31"/>
      <c r="LT100" s="31"/>
      <c r="LU100" s="31"/>
      <c r="LV100" s="31"/>
      <c r="LW100" s="31"/>
      <c r="LX100" s="31"/>
      <c r="LY100" s="31"/>
      <c r="LZ100" s="31"/>
      <c r="MA100" s="31"/>
      <c r="MB100" s="31"/>
      <c r="MC100" s="31"/>
      <c r="MD100" s="31"/>
      <c r="ME100" s="31"/>
      <c r="MF100" s="31"/>
    </row>
    <row r="101" spans="1:344" ht="50.25" customHeight="1">
      <c r="B101" s="88" t="str">
        <f>'OKR '!D178</f>
        <v>Designar responsáveis formais pela governança dos dados</v>
      </c>
      <c r="C101" s="88" t="str">
        <f>'OKR '!E178</f>
        <v>Gestores Municipais</v>
      </c>
      <c r="D101" s="20"/>
      <c r="E101" s="136">
        <f>'OKR '!G178</f>
        <v>46055</v>
      </c>
      <c r="F101" s="136">
        <f>'OKR '!H178</f>
        <v>46112</v>
      </c>
      <c r="G101" s="14"/>
      <c r="H101" s="14"/>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c r="EG101" s="31"/>
      <c r="EH101" s="31"/>
      <c r="EI101" s="31"/>
      <c r="EJ101" s="31"/>
      <c r="EK101" s="31"/>
      <c r="EL101" s="31"/>
      <c r="EM101" s="31"/>
      <c r="EN101" s="31"/>
      <c r="EO101" s="31"/>
      <c r="EP101" s="31"/>
      <c r="EQ101" s="31"/>
      <c r="ER101" s="31"/>
      <c r="ES101" s="31"/>
      <c r="ET101" s="31"/>
      <c r="EU101" s="31"/>
      <c r="EV101" s="31"/>
      <c r="EW101" s="31"/>
      <c r="EX101" s="31"/>
      <c r="EY101" s="31"/>
      <c r="EZ101" s="31"/>
      <c r="FA101" s="31"/>
      <c r="FB101" s="31"/>
      <c r="FC101" s="31"/>
      <c r="FD101" s="31"/>
      <c r="FE101" s="31"/>
      <c r="FF101" s="31"/>
      <c r="FG101" s="31"/>
      <c r="FH101" s="31"/>
      <c r="FI101" s="31"/>
      <c r="FJ101" s="31"/>
      <c r="FK101" s="31"/>
      <c r="FL101" s="31"/>
      <c r="FM101" s="31"/>
      <c r="FN101" s="31"/>
      <c r="FO101" s="31"/>
      <c r="FP101" s="31"/>
      <c r="FQ101" s="31"/>
      <c r="FR101" s="31"/>
      <c r="FS101" s="31"/>
      <c r="FT101" s="31"/>
      <c r="FU101" s="31"/>
      <c r="FV101" s="31"/>
      <c r="FW101" s="31"/>
      <c r="FX101" s="31"/>
      <c r="FY101" s="31"/>
      <c r="FZ101" s="31"/>
      <c r="GA101" s="31"/>
      <c r="GB101" s="31"/>
      <c r="GC101" s="31"/>
      <c r="GD101" s="31"/>
      <c r="GE101" s="31"/>
      <c r="GF101" s="31"/>
      <c r="GG101" s="31"/>
      <c r="GH101" s="31"/>
      <c r="GI101" s="31"/>
      <c r="GJ101" s="31"/>
      <c r="GK101" s="31"/>
      <c r="GL101" s="31"/>
      <c r="GM101" s="31"/>
      <c r="GN101" s="31"/>
      <c r="GO101" s="31"/>
      <c r="GP101" s="31"/>
      <c r="GQ101" s="31"/>
      <c r="GR101" s="31"/>
      <c r="GS101" s="31"/>
      <c r="GT101" s="31"/>
      <c r="GU101" s="31"/>
      <c r="GV101" s="31"/>
      <c r="GW101" s="31"/>
      <c r="GX101" s="31"/>
      <c r="GY101" s="31"/>
      <c r="GZ101" s="31"/>
      <c r="HA101" s="31"/>
      <c r="HB101" s="31"/>
      <c r="HC101" s="31"/>
      <c r="HD101" s="31"/>
      <c r="HE101" s="31"/>
      <c r="HF101" s="31"/>
      <c r="HG101" s="31"/>
      <c r="HH101" s="31"/>
      <c r="HI101" s="31"/>
      <c r="HJ101" s="31"/>
      <c r="HK101" s="31"/>
      <c r="HL101" s="31"/>
      <c r="HM101" s="31"/>
      <c r="HN101" s="31"/>
      <c r="HO101" s="31"/>
      <c r="HP101" s="31"/>
      <c r="HQ101" s="31"/>
      <c r="HR101" s="31"/>
      <c r="HS101" s="31"/>
      <c r="HT101" s="31"/>
      <c r="HU101" s="31"/>
      <c r="HV101" s="31"/>
      <c r="HW101" s="31"/>
      <c r="HX101" s="31"/>
      <c r="HY101" s="31"/>
      <c r="HZ101" s="31"/>
      <c r="IA101" s="31"/>
      <c r="IB101" s="31"/>
      <c r="IC101" s="31"/>
      <c r="ID101" s="31"/>
      <c r="IE101" s="31"/>
      <c r="IF101" s="31"/>
      <c r="IG101" s="31"/>
      <c r="IH101" s="31"/>
      <c r="II101" s="31"/>
      <c r="IJ101" s="31"/>
      <c r="IK101" s="31"/>
      <c r="IL101" s="31"/>
      <c r="IM101" s="31"/>
      <c r="IN101" s="31"/>
      <c r="IO101" s="31"/>
      <c r="IP101" s="31"/>
      <c r="IQ101" s="31"/>
      <c r="IR101" s="31"/>
      <c r="IS101" s="31"/>
      <c r="IT101" s="31"/>
      <c r="IU101" s="31"/>
      <c r="IV101" s="31"/>
      <c r="IW101" s="31"/>
      <c r="IX101" s="31"/>
      <c r="IY101" s="31"/>
      <c r="IZ101" s="31"/>
      <c r="JA101" s="31"/>
      <c r="JB101" s="31"/>
      <c r="JC101" s="31"/>
      <c r="JD101" s="31"/>
      <c r="JE101" s="31"/>
      <c r="JF101" s="31"/>
      <c r="JG101" s="31"/>
      <c r="JH101" s="31"/>
      <c r="JI101" s="31"/>
      <c r="JJ101" s="31"/>
      <c r="JK101" s="31"/>
      <c r="JL101" s="31"/>
      <c r="JM101" s="31"/>
      <c r="JN101" s="31"/>
      <c r="JO101" s="31"/>
      <c r="JP101" s="31"/>
      <c r="JQ101" s="31"/>
      <c r="JR101" s="31"/>
      <c r="JS101" s="31"/>
      <c r="JT101" s="31"/>
      <c r="JU101" s="31"/>
      <c r="JV101" s="31"/>
      <c r="JW101" s="31"/>
      <c r="JX101" s="31"/>
      <c r="JY101" s="31"/>
      <c r="JZ101" s="31"/>
      <c r="KA101" s="31"/>
      <c r="KB101" s="31"/>
      <c r="KC101" s="31"/>
      <c r="KD101" s="31"/>
      <c r="KE101" s="31"/>
      <c r="KF101" s="31"/>
      <c r="KG101" s="31"/>
      <c r="KH101" s="31"/>
      <c r="KI101" s="31"/>
      <c r="KJ101" s="31"/>
      <c r="KK101" s="31"/>
      <c r="KL101" s="31"/>
      <c r="KM101" s="31"/>
      <c r="KN101" s="31"/>
      <c r="KO101" s="31"/>
      <c r="KP101" s="31"/>
      <c r="KQ101" s="31"/>
      <c r="KR101" s="31"/>
      <c r="KS101" s="31"/>
      <c r="KT101" s="31"/>
      <c r="KU101" s="31"/>
      <c r="KV101" s="31"/>
      <c r="KW101" s="31"/>
      <c r="KX101" s="31"/>
      <c r="KY101" s="31"/>
      <c r="KZ101" s="31"/>
      <c r="LA101" s="31"/>
      <c r="LB101" s="31"/>
      <c r="LC101" s="31"/>
      <c r="LD101" s="31"/>
      <c r="LE101" s="31"/>
      <c r="LF101" s="31"/>
      <c r="LG101" s="31"/>
      <c r="LH101" s="31"/>
      <c r="LI101" s="31"/>
      <c r="LJ101" s="31"/>
      <c r="LK101" s="31"/>
      <c r="LL101" s="31"/>
      <c r="LM101" s="31"/>
      <c r="LN101" s="31"/>
      <c r="LO101" s="31"/>
      <c r="LP101" s="31"/>
      <c r="LQ101" s="31"/>
      <c r="LR101" s="31"/>
      <c r="LS101" s="31"/>
      <c r="LT101" s="31"/>
      <c r="LU101" s="31"/>
      <c r="LV101" s="31"/>
      <c r="LW101" s="31"/>
      <c r="LX101" s="31"/>
      <c r="LY101" s="31"/>
      <c r="LZ101" s="31"/>
      <c r="MA101" s="31"/>
      <c r="MB101" s="31"/>
      <c r="MC101" s="31"/>
      <c r="MD101" s="31"/>
      <c r="ME101" s="31"/>
      <c r="MF101" s="31"/>
    </row>
    <row r="102" spans="1:344" ht="50.25" customHeight="1">
      <c r="B102" s="88" t="str">
        <f>'OKR '!D179</f>
        <v>Definir regras de acesso e segurança da informação</v>
      </c>
      <c r="C102" s="88" t="str">
        <f>'OKR '!E179</f>
        <v>Grupo de trabalho</v>
      </c>
      <c r="D102" s="20"/>
      <c r="E102" s="136">
        <f>'OKR '!G179</f>
        <v>46055</v>
      </c>
      <c r="F102" s="136">
        <f>'OKR '!H179</f>
        <v>46265</v>
      </c>
      <c r="G102" s="14"/>
      <c r="H102" s="14"/>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c r="EG102" s="31"/>
      <c r="EH102" s="31"/>
      <c r="EI102" s="31"/>
      <c r="EJ102" s="31"/>
      <c r="EK102" s="31"/>
      <c r="EL102" s="31"/>
      <c r="EM102" s="31"/>
      <c r="EN102" s="31"/>
      <c r="EO102" s="31"/>
      <c r="EP102" s="31"/>
      <c r="EQ102" s="31"/>
      <c r="ER102" s="31"/>
      <c r="ES102" s="31"/>
      <c r="ET102" s="31"/>
      <c r="EU102" s="31"/>
      <c r="EV102" s="31"/>
      <c r="EW102" s="31"/>
      <c r="EX102" s="31"/>
      <c r="EY102" s="31"/>
      <c r="EZ102" s="31"/>
      <c r="FA102" s="31"/>
      <c r="FB102" s="31"/>
      <c r="FC102" s="31"/>
      <c r="FD102" s="31"/>
      <c r="FE102" s="31"/>
      <c r="FF102" s="31"/>
      <c r="FG102" s="31"/>
      <c r="FH102" s="31"/>
      <c r="FI102" s="31"/>
      <c r="FJ102" s="31"/>
      <c r="FK102" s="31"/>
      <c r="FL102" s="31"/>
      <c r="FM102" s="31"/>
      <c r="FN102" s="31"/>
      <c r="FO102" s="31"/>
      <c r="FP102" s="31"/>
      <c r="FQ102" s="31"/>
      <c r="FR102" s="31"/>
      <c r="FS102" s="31"/>
      <c r="FT102" s="31"/>
      <c r="FU102" s="31"/>
      <c r="FV102" s="31"/>
      <c r="FW102" s="31"/>
      <c r="FX102" s="31"/>
      <c r="FY102" s="31"/>
      <c r="FZ102" s="31"/>
      <c r="GA102" s="31"/>
      <c r="GB102" s="31"/>
      <c r="GC102" s="31"/>
      <c r="GD102" s="31"/>
      <c r="GE102" s="31"/>
      <c r="GF102" s="31"/>
      <c r="GG102" s="31"/>
      <c r="GH102" s="31"/>
      <c r="GI102" s="31"/>
      <c r="GJ102" s="31"/>
      <c r="GK102" s="31"/>
      <c r="GL102" s="31"/>
      <c r="GM102" s="31"/>
      <c r="GN102" s="31"/>
      <c r="GO102" s="31"/>
      <c r="GP102" s="31"/>
      <c r="GQ102" s="31"/>
      <c r="GR102" s="31"/>
      <c r="GS102" s="31"/>
      <c r="GT102" s="31"/>
      <c r="GU102" s="31"/>
      <c r="GV102" s="31"/>
      <c r="GW102" s="31"/>
      <c r="GX102" s="31"/>
      <c r="GY102" s="31"/>
      <c r="GZ102" s="31"/>
      <c r="HA102" s="31"/>
      <c r="HB102" s="31"/>
      <c r="HC102" s="31"/>
      <c r="HD102" s="31"/>
      <c r="HE102" s="31"/>
      <c r="HF102" s="31"/>
      <c r="HG102" s="31"/>
      <c r="HH102" s="31"/>
      <c r="HI102" s="31"/>
      <c r="HJ102" s="31"/>
      <c r="HK102" s="31"/>
      <c r="HL102" s="31"/>
      <c r="HM102" s="31"/>
      <c r="HN102" s="31"/>
      <c r="HO102" s="31"/>
      <c r="HP102" s="31"/>
      <c r="HQ102" s="31"/>
      <c r="HR102" s="31"/>
      <c r="HS102" s="31"/>
      <c r="HT102" s="31"/>
      <c r="HU102" s="31"/>
      <c r="HV102" s="31"/>
      <c r="HW102" s="31"/>
      <c r="HX102" s="31"/>
      <c r="HY102" s="31"/>
      <c r="HZ102" s="31"/>
      <c r="IA102" s="31"/>
      <c r="IB102" s="31"/>
      <c r="IC102" s="31"/>
      <c r="ID102" s="31"/>
      <c r="IE102" s="31"/>
      <c r="IF102" s="31"/>
      <c r="IG102" s="31"/>
      <c r="IH102" s="31"/>
      <c r="II102" s="31"/>
      <c r="IJ102" s="31"/>
      <c r="IK102" s="31"/>
      <c r="IL102" s="31"/>
      <c r="IM102" s="31"/>
      <c r="IN102" s="31"/>
      <c r="IO102" s="31"/>
      <c r="IP102" s="31"/>
      <c r="IQ102" s="31"/>
      <c r="IR102" s="31"/>
      <c r="IS102" s="31"/>
      <c r="IT102" s="31"/>
      <c r="IU102" s="31"/>
      <c r="IV102" s="31"/>
      <c r="IW102" s="31"/>
      <c r="IX102" s="31"/>
      <c r="IY102" s="31"/>
      <c r="IZ102" s="31"/>
      <c r="JA102" s="31"/>
      <c r="JB102" s="31"/>
      <c r="JC102" s="31"/>
      <c r="JD102" s="31"/>
      <c r="JE102" s="31"/>
      <c r="JF102" s="31"/>
      <c r="JG102" s="31"/>
      <c r="JH102" s="31"/>
      <c r="JI102" s="31"/>
      <c r="JJ102" s="31"/>
      <c r="JK102" s="31"/>
      <c r="JL102" s="31"/>
      <c r="JM102" s="31"/>
      <c r="JN102" s="31"/>
      <c r="JO102" s="31"/>
      <c r="JP102" s="31"/>
      <c r="JQ102" s="31"/>
      <c r="JR102" s="31"/>
      <c r="JS102" s="31"/>
      <c r="JT102" s="31"/>
      <c r="JU102" s="31"/>
      <c r="JV102" s="31"/>
      <c r="JW102" s="31"/>
      <c r="JX102" s="31"/>
      <c r="JY102" s="31"/>
      <c r="JZ102" s="31"/>
      <c r="KA102" s="31"/>
      <c r="KB102" s="31"/>
      <c r="KC102" s="31"/>
      <c r="KD102" s="31"/>
      <c r="KE102" s="31"/>
      <c r="KF102" s="31"/>
      <c r="KG102" s="31"/>
      <c r="KH102" s="31"/>
      <c r="KI102" s="31"/>
      <c r="KJ102" s="31"/>
      <c r="KK102" s="31"/>
      <c r="KL102" s="31"/>
      <c r="KM102" s="31"/>
      <c r="KN102" s="31"/>
      <c r="KO102" s="31"/>
      <c r="KP102" s="31"/>
      <c r="KQ102" s="31"/>
      <c r="KR102" s="31"/>
      <c r="KS102" s="31"/>
      <c r="KT102" s="31"/>
      <c r="KU102" s="31"/>
      <c r="KV102" s="31"/>
      <c r="KW102" s="31"/>
      <c r="KX102" s="31"/>
      <c r="KY102" s="31"/>
      <c r="KZ102" s="31"/>
      <c r="LA102" s="31"/>
      <c r="LB102" s="31"/>
      <c r="LC102" s="31"/>
      <c r="LD102" s="31"/>
      <c r="LE102" s="31"/>
      <c r="LF102" s="31"/>
      <c r="LG102" s="31"/>
      <c r="LH102" s="31"/>
      <c r="LI102" s="31"/>
      <c r="LJ102" s="31"/>
      <c r="LK102" s="31"/>
      <c r="LL102" s="31"/>
      <c r="LM102" s="31"/>
      <c r="LN102" s="31"/>
      <c r="LO102" s="31"/>
      <c r="LP102" s="31"/>
      <c r="LQ102" s="31"/>
      <c r="LR102" s="31"/>
      <c r="LS102" s="31"/>
      <c r="LT102" s="31"/>
      <c r="LU102" s="31"/>
      <c r="LV102" s="31"/>
      <c r="LW102" s="31"/>
      <c r="LX102" s="31"/>
      <c r="LY102" s="31"/>
      <c r="LZ102" s="31"/>
      <c r="MA102" s="31"/>
      <c r="MB102" s="31"/>
      <c r="MC102" s="31"/>
      <c r="MD102" s="31"/>
      <c r="ME102" s="31"/>
      <c r="MF102" s="31"/>
    </row>
    <row r="103" spans="1:344" ht="50.25" customHeight="1">
      <c r="B103" s="88" t="str">
        <f>'OKR '!D180</f>
        <v>Alinhar regras à LGPD e às diretrizes estaduais</v>
      </c>
      <c r="C103" s="88" t="str">
        <f>'OKR '!E180</f>
        <v>Grupo de trabalho</v>
      </c>
      <c r="D103" s="20"/>
      <c r="E103" s="136">
        <f>'OKR '!G180</f>
        <v>46055</v>
      </c>
      <c r="F103" s="136">
        <f>'OKR '!H180</f>
        <v>46265</v>
      </c>
      <c r="G103" s="14"/>
      <c r="H103" s="14"/>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c r="EG103" s="31"/>
      <c r="EH103" s="31"/>
      <c r="EI103" s="31"/>
      <c r="EJ103" s="31"/>
      <c r="EK103" s="31"/>
      <c r="EL103" s="31"/>
      <c r="EM103" s="31"/>
      <c r="EN103" s="31"/>
      <c r="EO103" s="31"/>
      <c r="EP103" s="31"/>
      <c r="EQ103" s="31"/>
      <c r="ER103" s="31"/>
      <c r="ES103" s="31"/>
      <c r="ET103" s="31"/>
      <c r="EU103" s="31"/>
      <c r="EV103" s="31"/>
      <c r="EW103" s="31"/>
      <c r="EX103" s="31"/>
      <c r="EY103" s="31"/>
      <c r="EZ103" s="31"/>
      <c r="FA103" s="31"/>
      <c r="FB103" s="31"/>
      <c r="FC103" s="31"/>
      <c r="FD103" s="31"/>
      <c r="FE103" s="31"/>
      <c r="FF103" s="31"/>
      <c r="FG103" s="31"/>
      <c r="FH103" s="31"/>
      <c r="FI103" s="31"/>
      <c r="FJ103" s="31"/>
      <c r="FK103" s="31"/>
      <c r="FL103" s="31"/>
      <c r="FM103" s="31"/>
      <c r="FN103" s="31"/>
      <c r="FO103" s="31"/>
      <c r="FP103" s="31"/>
      <c r="FQ103" s="31"/>
      <c r="FR103" s="31"/>
      <c r="FS103" s="31"/>
      <c r="FT103" s="31"/>
      <c r="FU103" s="31"/>
      <c r="FV103" s="31"/>
      <c r="FW103" s="31"/>
      <c r="FX103" s="31"/>
      <c r="FY103" s="31"/>
      <c r="FZ103" s="31"/>
      <c r="GA103" s="31"/>
      <c r="GB103" s="31"/>
      <c r="GC103" s="31"/>
      <c r="GD103" s="31"/>
      <c r="GE103" s="31"/>
      <c r="GF103" s="31"/>
      <c r="GG103" s="31"/>
      <c r="GH103" s="31"/>
      <c r="GI103" s="31"/>
      <c r="GJ103" s="31"/>
      <c r="GK103" s="31"/>
      <c r="GL103" s="31"/>
      <c r="GM103" s="31"/>
      <c r="GN103" s="31"/>
      <c r="GO103" s="31"/>
      <c r="GP103" s="31"/>
      <c r="GQ103" s="31"/>
      <c r="GR103" s="31"/>
      <c r="GS103" s="31"/>
      <c r="GT103" s="31"/>
      <c r="GU103" s="31"/>
      <c r="GV103" s="31"/>
      <c r="GW103" s="31"/>
      <c r="GX103" s="31"/>
      <c r="GY103" s="31"/>
      <c r="GZ103" s="31"/>
      <c r="HA103" s="31"/>
      <c r="HB103" s="31"/>
      <c r="HC103" s="31"/>
      <c r="HD103" s="31"/>
      <c r="HE103" s="31"/>
      <c r="HF103" s="31"/>
      <c r="HG103" s="31"/>
      <c r="HH103" s="31"/>
      <c r="HI103" s="31"/>
      <c r="HJ103" s="31"/>
      <c r="HK103" s="31"/>
      <c r="HL103" s="31"/>
      <c r="HM103" s="31"/>
      <c r="HN103" s="31"/>
      <c r="HO103" s="31"/>
      <c r="HP103" s="31"/>
      <c r="HQ103" s="31"/>
      <c r="HR103" s="31"/>
      <c r="HS103" s="31"/>
      <c r="HT103" s="31"/>
      <c r="HU103" s="31"/>
      <c r="HV103" s="31"/>
      <c r="HW103" s="31"/>
      <c r="HX103" s="31"/>
      <c r="HY103" s="31"/>
      <c r="HZ103" s="31"/>
      <c r="IA103" s="31"/>
      <c r="IB103" s="31"/>
      <c r="IC103" s="31"/>
      <c r="ID103" s="31"/>
      <c r="IE103" s="31"/>
      <c r="IF103" s="31"/>
      <c r="IG103" s="31"/>
      <c r="IH103" s="31"/>
      <c r="II103" s="31"/>
      <c r="IJ103" s="31"/>
      <c r="IK103" s="31"/>
      <c r="IL103" s="31"/>
      <c r="IM103" s="31"/>
      <c r="IN103" s="31"/>
      <c r="IO103" s="31"/>
      <c r="IP103" s="31"/>
      <c r="IQ103" s="31"/>
      <c r="IR103" s="31"/>
      <c r="IS103" s="31"/>
      <c r="IT103" s="31"/>
      <c r="IU103" s="31"/>
      <c r="IV103" s="31"/>
      <c r="IW103" s="31"/>
      <c r="IX103" s="31"/>
      <c r="IY103" s="31"/>
      <c r="IZ103" s="31"/>
      <c r="JA103" s="31"/>
      <c r="JB103" s="31"/>
      <c r="JC103" s="31"/>
      <c r="JD103" s="31"/>
      <c r="JE103" s="31"/>
      <c r="JF103" s="31"/>
      <c r="JG103" s="31"/>
      <c r="JH103" s="31"/>
      <c r="JI103" s="31"/>
      <c r="JJ103" s="31"/>
      <c r="JK103" s="31"/>
      <c r="JL103" s="31"/>
      <c r="JM103" s="31"/>
      <c r="JN103" s="31"/>
      <c r="JO103" s="31"/>
      <c r="JP103" s="31"/>
      <c r="JQ103" s="31"/>
      <c r="JR103" s="31"/>
      <c r="JS103" s="31"/>
      <c r="JT103" s="31"/>
      <c r="JU103" s="31"/>
      <c r="JV103" s="31"/>
      <c r="JW103" s="31"/>
      <c r="JX103" s="31"/>
      <c r="JY103" s="31"/>
      <c r="JZ103" s="31"/>
      <c r="KA103" s="31"/>
      <c r="KB103" s="31"/>
      <c r="KC103" s="31"/>
      <c r="KD103" s="31"/>
      <c r="KE103" s="31"/>
      <c r="KF103" s="31"/>
      <c r="KG103" s="31"/>
      <c r="KH103" s="31"/>
      <c r="KI103" s="31"/>
      <c r="KJ103" s="31"/>
      <c r="KK103" s="31"/>
      <c r="KL103" s="31"/>
      <c r="KM103" s="31"/>
      <c r="KN103" s="31"/>
      <c r="KO103" s="31"/>
      <c r="KP103" s="31"/>
      <c r="KQ103" s="31"/>
      <c r="KR103" s="31"/>
      <c r="KS103" s="31"/>
      <c r="KT103" s="31"/>
      <c r="KU103" s="31"/>
      <c r="KV103" s="31"/>
      <c r="KW103" s="31"/>
      <c r="KX103" s="31"/>
      <c r="KY103" s="31"/>
      <c r="KZ103" s="31"/>
      <c r="LA103" s="31"/>
      <c r="LB103" s="31"/>
      <c r="LC103" s="31"/>
      <c r="LD103" s="31"/>
      <c r="LE103" s="31"/>
      <c r="LF103" s="31"/>
      <c r="LG103" s="31"/>
      <c r="LH103" s="31"/>
      <c r="LI103" s="31"/>
      <c r="LJ103" s="31"/>
      <c r="LK103" s="31"/>
      <c r="LL103" s="31"/>
      <c r="LM103" s="31"/>
      <c r="LN103" s="31"/>
      <c r="LO103" s="31"/>
      <c r="LP103" s="31"/>
      <c r="LQ103" s="31"/>
      <c r="LR103" s="31"/>
      <c r="LS103" s="31"/>
      <c r="LT103" s="31"/>
      <c r="LU103" s="31"/>
      <c r="LV103" s="31"/>
      <c r="LW103" s="31"/>
      <c r="LX103" s="31"/>
      <c r="LY103" s="31"/>
      <c r="LZ103" s="31"/>
      <c r="MA103" s="31"/>
      <c r="MB103" s="31"/>
      <c r="MC103" s="31"/>
      <c r="MD103" s="31"/>
      <c r="ME103" s="31"/>
      <c r="MF103" s="31"/>
    </row>
    <row r="104" spans="1:344" ht="50.25" customHeight="1">
      <c r="B104" s="88" t="str">
        <f>'OKR '!D181</f>
        <v>Definir escopo claro do que será integrado em cada fase</v>
      </c>
      <c r="C104" s="88" t="str">
        <f>'OKR '!E181</f>
        <v>Grupo de trabalho</v>
      </c>
      <c r="D104" s="20"/>
      <c r="E104" s="136">
        <f>'OKR '!G181</f>
        <v>46055</v>
      </c>
      <c r="F104" s="136">
        <f>'OKR '!H181</f>
        <v>46265</v>
      </c>
      <c r="G104" s="14"/>
      <c r="H104" s="14"/>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c r="EG104" s="31"/>
      <c r="EH104" s="31"/>
      <c r="EI104" s="31"/>
      <c r="EJ104" s="31"/>
      <c r="EK104" s="31"/>
      <c r="EL104" s="31"/>
      <c r="EM104" s="31"/>
      <c r="EN104" s="31"/>
      <c r="EO104" s="31"/>
      <c r="EP104" s="31"/>
      <c r="EQ104" s="31"/>
      <c r="ER104" s="31"/>
      <c r="ES104" s="31"/>
      <c r="ET104" s="31"/>
      <c r="EU104" s="31"/>
      <c r="EV104" s="31"/>
      <c r="EW104" s="31"/>
      <c r="EX104" s="31"/>
      <c r="EY104" s="31"/>
      <c r="EZ104" s="31"/>
      <c r="FA104" s="31"/>
      <c r="FB104" s="31"/>
      <c r="FC104" s="31"/>
      <c r="FD104" s="31"/>
      <c r="FE104" s="31"/>
      <c r="FF104" s="31"/>
      <c r="FG104" s="31"/>
      <c r="FH104" s="31"/>
      <c r="FI104" s="31"/>
      <c r="FJ104" s="31"/>
      <c r="FK104" s="31"/>
      <c r="FL104" s="31"/>
      <c r="FM104" s="31"/>
      <c r="FN104" s="31"/>
      <c r="FO104" s="31"/>
      <c r="FP104" s="31"/>
      <c r="FQ104" s="31"/>
      <c r="FR104" s="31"/>
      <c r="FS104" s="31"/>
      <c r="FT104" s="31"/>
      <c r="FU104" s="31"/>
      <c r="FV104" s="31"/>
      <c r="FW104" s="31"/>
      <c r="FX104" s="31"/>
      <c r="FY104" s="31"/>
      <c r="FZ104" s="31"/>
      <c r="GA104" s="31"/>
      <c r="GB104" s="31"/>
      <c r="GC104" s="31"/>
      <c r="GD104" s="31"/>
      <c r="GE104" s="31"/>
      <c r="GF104" s="31"/>
      <c r="GG104" s="31"/>
      <c r="GH104" s="31"/>
      <c r="GI104" s="31"/>
      <c r="GJ104" s="31"/>
      <c r="GK104" s="31"/>
      <c r="GL104" s="31"/>
      <c r="GM104" s="31"/>
      <c r="GN104" s="31"/>
      <c r="GO104" s="31"/>
      <c r="GP104" s="31"/>
      <c r="GQ104" s="31"/>
      <c r="GR104" s="31"/>
      <c r="GS104" s="31"/>
      <c r="GT104" s="31"/>
      <c r="GU104" s="31"/>
      <c r="GV104" s="31"/>
      <c r="GW104" s="31"/>
      <c r="GX104" s="31"/>
      <c r="GY104" s="31"/>
      <c r="GZ104" s="31"/>
      <c r="HA104" s="31"/>
      <c r="HB104" s="31"/>
      <c r="HC104" s="31"/>
      <c r="HD104" s="31"/>
      <c r="HE104" s="31"/>
      <c r="HF104" s="31"/>
      <c r="HG104" s="31"/>
      <c r="HH104" s="31"/>
      <c r="HI104" s="31"/>
      <c r="HJ104" s="31"/>
      <c r="HK104" s="31"/>
      <c r="HL104" s="31"/>
      <c r="HM104" s="31"/>
      <c r="HN104" s="31"/>
      <c r="HO104" s="31"/>
      <c r="HP104" s="31"/>
      <c r="HQ104" s="31"/>
      <c r="HR104" s="31"/>
      <c r="HS104" s="31"/>
      <c r="HT104" s="31"/>
      <c r="HU104" s="31"/>
      <c r="HV104" s="31"/>
      <c r="HW104" s="31"/>
      <c r="HX104" s="31"/>
      <c r="HY104" s="31"/>
      <c r="HZ104" s="31"/>
      <c r="IA104" s="31"/>
      <c r="IB104" s="31"/>
      <c r="IC104" s="31"/>
      <c r="ID104" s="31"/>
      <c r="IE104" s="31"/>
      <c r="IF104" s="31"/>
      <c r="IG104" s="31"/>
      <c r="IH104" s="31"/>
      <c r="II104" s="31"/>
      <c r="IJ104" s="31"/>
      <c r="IK104" s="31"/>
      <c r="IL104" s="31"/>
      <c r="IM104" s="31"/>
      <c r="IN104" s="31"/>
      <c r="IO104" s="31"/>
      <c r="IP104" s="31"/>
      <c r="IQ104" s="31"/>
      <c r="IR104" s="31"/>
      <c r="IS104" s="31"/>
      <c r="IT104" s="31"/>
      <c r="IU104" s="31"/>
      <c r="IV104" s="31"/>
      <c r="IW104" s="31"/>
      <c r="IX104" s="31"/>
      <c r="IY104" s="31"/>
      <c r="IZ104" s="31"/>
      <c r="JA104" s="31"/>
      <c r="JB104" s="31"/>
      <c r="JC104" s="31"/>
      <c r="JD104" s="31"/>
      <c r="JE104" s="31"/>
      <c r="JF104" s="31"/>
      <c r="JG104" s="31"/>
      <c r="JH104" s="31"/>
      <c r="JI104" s="31"/>
      <c r="JJ104" s="31"/>
      <c r="JK104" s="31"/>
      <c r="JL104" s="31"/>
      <c r="JM104" s="31"/>
      <c r="JN104" s="31"/>
      <c r="JO104" s="31"/>
      <c r="JP104" s="31"/>
      <c r="JQ104" s="31"/>
      <c r="JR104" s="31"/>
      <c r="JS104" s="31"/>
      <c r="JT104" s="31"/>
      <c r="JU104" s="31"/>
      <c r="JV104" s="31"/>
      <c r="JW104" s="31"/>
      <c r="JX104" s="31"/>
      <c r="JY104" s="31"/>
      <c r="JZ104" s="31"/>
      <c r="KA104" s="31"/>
      <c r="KB104" s="31"/>
      <c r="KC104" s="31"/>
      <c r="KD104" s="31"/>
      <c r="KE104" s="31"/>
      <c r="KF104" s="31"/>
      <c r="KG104" s="31"/>
      <c r="KH104" s="31"/>
      <c r="KI104" s="31"/>
      <c r="KJ104" s="31"/>
      <c r="KK104" s="31"/>
      <c r="KL104" s="31"/>
      <c r="KM104" s="31"/>
      <c r="KN104" s="31"/>
      <c r="KO104" s="31"/>
      <c r="KP104" s="31"/>
      <c r="KQ104" s="31"/>
      <c r="KR104" s="31"/>
      <c r="KS104" s="31"/>
      <c r="KT104" s="31"/>
      <c r="KU104" s="31"/>
      <c r="KV104" s="31"/>
      <c r="KW104" s="31"/>
      <c r="KX104" s="31"/>
      <c r="KY104" s="31"/>
      <c r="KZ104" s="31"/>
      <c r="LA104" s="31"/>
      <c r="LB104" s="31"/>
      <c r="LC104" s="31"/>
      <c r="LD104" s="31"/>
      <c r="LE104" s="31"/>
      <c r="LF104" s="31"/>
      <c r="LG104" s="31"/>
      <c r="LH104" s="31"/>
      <c r="LI104" s="31"/>
      <c r="LJ104" s="31"/>
      <c r="LK104" s="31"/>
      <c r="LL104" s="31"/>
      <c r="LM104" s="31"/>
      <c r="LN104" s="31"/>
      <c r="LO104" s="31"/>
      <c r="LP104" s="31"/>
      <c r="LQ104" s="31"/>
      <c r="LR104" s="31"/>
      <c r="LS104" s="31"/>
      <c r="LT104" s="31"/>
      <c r="LU104" s="31"/>
      <c r="LV104" s="31"/>
      <c r="LW104" s="31"/>
      <c r="LX104" s="31"/>
      <c r="LY104" s="31"/>
      <c r="LZ104" s="31"/>
      <c r="MA104" s="31"/>
      <c r="MB104" s="31"/>
      <c r="MC104" s="31"/>
      <c r="MD104" s="31"/>
      <c r="ME104" s="31"/>
      <c r="MF104" s="31"/>
    </row>
    <row r="105" spans="1:344" ht="50.25" customHeight="1">
      <c r="B105" s="88" t="str">
        <f>'OKR '!D182</f>
        <v>Priorizar padrões conforme sistemas críticos mapeados</v>
      </c>
      <c r="C105" s="88" t="str">
        <f>'OKR '!E182</f>
        <v>Grupo de trabalho</v>
      </c>
      <c r="D105" s="20"/>
      <c r="E105" s="136">
        <f>'OKR '!G182</f>
        <v>46055</v>
      </c>
      <c r="F105" s="136">
        <f>'OKR '!H182</f>
        <v>46265</v>
      </c>
      <c r="G105" s="14"/>
      <c r="H105" s="14"/>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c r="EG105" s="31"/>
      <c r="EH105" s="31"/>
      <c r="EI105" s="31"/>
      <c r="EJ105" s="31"/>
      <c r="EK105" s="31"/>
      <c r="EL105" s="31"/>
      <c r="EM105" s="31"/>
      <c r="EN105" s="31"/>
      <c r="EO105" s="31"/>
      <c r="EP105" s="31"/>
      <c r="EQ105" s="31"/>
      <c r="ER105" s="31"/>
      <c r="ES105" s="31"/>
      <c r="ET105" s="31"/>
      <c r="EU105" s="31"/>
      <c r="EV105" s="31"/>
      <c r="EW105" s="31"/>
      <c r="EX105" s="31"/>
      <c r="EY105" s="31"/>
      <c r="EZ105" s="31"/>
      <c r="FA105" s="31"/>
      <c r="FB105" s="31"/>
      <c r="FC105" s="31"/>
      <c r="FD105" s="31"/>
      <c r="FE105" s="31"/>
      <c r="FF105" s="31"/>
      <c r="FG105" s="31"/>
      <c r="FH105" s="31"/>
      <c r="FI105" s="31"/>
      <c r="FJ105" s="31"/>
      <c r="FK105" s="31"/>
      <c r="FL105" s="31"/>
      <c r="FM105" s="31"/>
      <c r="FN105" s="31"/>
      <c r="FO105" s="31"/>
      <c r="FP105" s="31"/>
      <c r="FQ105" s="31"/>
      <c r="FR105" s="31"/>
      <c r="FS105" s="31"/>
      <c r="FT105" s="31"/>
      <c r="FU105" s="31"/>
      <c r="FV105" s="31"/>
      <c r="FW105" s="31"/>
      <c r="FX105" s="31"/>
      <c r="FY105" s="31"/>
      <c r="FZ105" s="31"/>
      <c r="GA105" s="31"/>
      <c r="GB105" s="31"/>
      <c r="GC105" s="31"/>
      <c r="GD105" s="31"/>
      <c r="GE105" s="31"/>
      <c r="GF105" s="31"/>
      <c r="GG105" s="31"/>
      <c r="GH105" s="31"/>
      <c r="GI105" s="31"/>
      <c r="GJ105" s="31"/>
      <c r="GK105" s="31"/>
      <c r="GL105" s="31"/>
      <c r="GM105" s="31"/>
      <c r="GN105" s="31"/>
      <c r="GO105" s="31"/>
      <c r="GP105" s="31"/>
      <c r="GQ105" s="31"/>
      <c r="GR105" s="31"/>
      <c r="GS105" s="31"/>
      <c r="GT105" s="31"/>
      <c r="GU105" s="31"/>
      <c r="GV105" s="31"/>
      <c r="GW105" s="31"/>
      <c r="GX105" s="31"/>
      <c r="GY105" s="31"/>
      <c r="GZ105" s="31"/>
      <c r="HA105" s="31"/>
      <c r="HB105" s="31"/>
      <c r="HC105" s="31"/>
      <c r="HD105" s="31"/>
      <c r="HE105" s="31"/>
      <c r="HF105" s="31"/>
      <c r="HG105" s="31"/>
      <c r="HH105" s="31"/>
      <c r="HI105" s="31"/>
      <c r="HJ105" s="31"/>
      <c r="HK105" s="31"/>
      <c r="HL105" s="31"/>
      <c r="HM105" s="31"/>
      <c r="HN105" s="31"/>
      <c r="HO105" s="31"/>
      <c r="HP105" s="31"/>
      <c r="HQ105" s="31"/>
      <c r="HR105" s="31"/>
      <c r="HS105" s="31"/>
      <c r="HT105" s="31"/>
      <c r="HU105" s="31"/>
      <c r="HV105" s="31"/>
      <c r="HW105" s="31"/>
      <c r="HX105" s="31"/>
      <c r="HY105" s="31"/>
      <c r="HZ105" s="31"/>
      <c r="IA105" s="31"/>
      <c r="IB105" s="31"/>
      <c r="IC105" s="31"/>
      <c r="ID105" s="31"/>
      <c r="IE105" s="31"/>
      <c r="IF105" s="31"/>
      <c r="IG105" s="31"/>
      <c r="IH105" s="31"/>
      <c r="II105" s="31"/>
      <c r="IJ105" s="31"/>
      <c r="IK105" s="31"/>
      <c r="IL105" s="31"/>
      <c r="IM105" s="31"/>
      <c r="IN105" s="31"/>
      <c r="IO105" s="31"/>
      <c r="IP105" s="31"/>
      <c r="IQ105" s="31"/>
      <c r="IR105" s="31"/>
      <c r="IS105" s="31"/>
      <c r="IT105" s="31"/>
      <c r="IU105" s="31"/>
      <c r="IV105" s="31"/>
      <c r="IW105" s="31"/>
      <c r="IX105" s="31"/>
      <c r="IY105" s="31"/>
      <c r="IZ105" s="31"/>
      <c r="JA105" s="31"/>
      <c r="JB105" s="31"/>
      <c r="JC105" s="31"/>
      <c r="JD105" s="31"/>
      <c r="JE105" s="31"/>
      <c r="JF105" s="31"/>
      <c r="JG105" s="31"/>
      <c r="JH105" s="31"/>
      <c r="JI105" s="31"/>
      <c r="JJ105" s="31"/>
      <c r="JK105" s="31"/>
      <c r="JL105" s="31"/>
      <c r="JM105" s="31"/>
      <c r="JN105" s="31"/>
      <c r="JO105" s="31"/>
      <c r="JP105" s="31"/>
      <c r="JQ105" s="31"/>
      <c r="JR105" s="31"/>
      <c r="JS105" s="31"/>
      <c r="JT105" s="31"/>
      <c r="JU105" s="31"/>
      <c r="JV105" s="31"/>
      <c r="JW105" s="31"/>
      <c r="JX105" s="31"/>
      <c r="JY105" s="31"/>
      <c r="JZ105" s="31"/>
      <c r="KA105" s="31"/>
      <c r="KB105" s="31"/>
      <c r="KC105" s="31"/>
      <c r="KD105" s="31"/>
      <c r="KE105" s="31"/>
      <c r="KF105" s="31"/>
      <c r="KG105" s="31"/>
      <c r="KH105" s="31"/>
      <c r="KI105" s="31"/>
      <c r="KJ105" s="31"/>
      <c r="KK105" s="31"/>
      <c r="KL105" s="31"/>
      <c r="KM105" s="31"/>
      <c r="KN105" s="31"/>
      <c r="KO105" s="31"/>
      <c r="KP105" s="31"/>
      <c r="KQ105" s="31"/>
      <c r="KR105" s="31"/>
      <c r="KS105" s="31"/>
      <c r="KT105" s="31"/>
      <c r="KU105" s="31"/>
      <c r="KV105" s="31"/>
      <c r="KW105" s="31"/>
      <c r="KX105" s="31"/>
      <c r="KY105" s="31"/>
      <c r="KZ105" s="31"/>
      <c r="LA105" s="31"/>
      <c r="LB105" s="31"/>
      <c r="LC105" s="31"/>
      <c r="LD105" s="31"/>
      <c r="LE105" s="31"/>
      <c r="LF105" s="31"/>
      <c r="LG105" s="31"/>
      <c r="LH105" s="31"/>
      <c r="LI105" s="31"/>
      <c r="LJ105" s="31"/>
      <c r="LK105" s="31"/>
      <c r="LL105" s="31"/>
      <c r="LM105" s="31"/>
      <c r="LN105" s="31"/>
      <c r="LO105" s="31"/>
      <c r="LP105" s="31"/>
      <c r="LQ105" s="31"/>
      <c r="LR105" s="31"/>
      <c r="LS105" s="31"/>
      <c r="LT105" s="31"/>
      <c r="LU105" s="31"/>
      <c r="LV105" s="31"/>
      <c r="LW105" s="31"/>
      <c r="LX105" s="31"/>
      <c r="LY105" s="31"/>
      <c r="LZ105" s="31"/>
      <c r="MA105" s="31"/>
      <c r="MB105" s="31"/>
      <c r="MC105" s="31"/>
      <c r="MD105" s="31"/>
      <c r="ME105" s="31"/>
      <c r="MF105" s="31"/>
    </row>
    <row r="106" spans="1:344" ht="50.25" customHeight="1">
      <c r="B106" s="88" t="str">
        <f>'OKR '!D183</f>
        <v>Priorizar padrões compatíveis com sistemas já existentes</v>
      </c>
      <c r="C106" s="88" t="str">
        <f>'OKR '!E183</f>
        <v>Grupo de trabalho</v>
      </c>
      <c r="D106" s="20"/>
      <c r="E106" s="136">
        <f>'OKR '!G183</f>
        <v>46055</v>
      </c>
      <c r="F106" s="136">
        <f>'OKR '!H183</f>
        <v>46265</v>
      </c>
      <c r="G106" s="14"/>
      <c r="H106" s="14"/>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c r="EG106" s="31"/>
      <c r="EH106" s="31"/>
      <c r="EI106" s="31"/>
      <c r="EJ106" s="31"/>
      <c r="EK106" s="31"/>
      <c r="EL106" s="31"/>
      <c r="EM106" s="31"/>
      <c r="EN106" s="31"/>
      <c r="EO106" s="31"/>
      <c r="EP106" s="31"/>
      <c r="EQ106" s="31"/>
      <c r="ER106" s="31"/>
      <c r="ES106" s="31"/>
      <c r="ET106" s="31"/>
      <c r="EU106" s="31"/>
      <c r="EV106" s="31"/>
      <c r="EW106" s="31"/>
      <c r="EX106" s="31"/>
      <c r="EY106" s="31"/>
      <c r="EZ106" s="31"/>
      <c r="FA106" s="31"/>
      <c r="FB106" s="31"/>
      <c r="FC106" s="31"/>
      <c r="FD106" s="31"/>
      <c r="FE106" s="31"/>
      <c r="FF106" s="31"/>
      <c r="FG106" s="31"/>
      <c r="FH106" s="31"/>
      <c r="FI106" s="31"/>
      <c r="FJ106" s="31"/>
      <c r="FK106" s="31"/>
      <c r="FL106" s="31"/>
      <c r="FM106" s="31"/>
      <c r="FN106" s="31"/>
      <c r="FO106" s="31"/>
      <c r="FP106" s="31"/>
      <c r="FQ106" s="31"/>
      <c r="FR106" s="31"/>
      <c r="FS106" s="31"/>
      <c r="FT106" s="31"/>
      <c r="FU106" s="31"/>
      <c r="FV106" s="31"/>
      <c r="FW106" s="31"/>
      <c r="FX106" s="31"/>
      <c r="FY106" s="31"/>
      <c r="FZ106" s="31"/>
      <c r="GA106" s="31"/>
      <c r="GB106" s="31"/>
      <c r="GC106" s="31"/>
      <c r="GD106" s="31"/>
      <c r="GE106" s="31"/>
      <c r="GF106" s="31"/>
      <c r="GG106" s="31"/>
      <c r="GH106" s="31"/>
      <c r="GI106" s="31"/>
      <c r="GJ106" s="31"/>
      <c r="GK106" s="31"/>
      <c r="GL106" s="31"/>
      <c r="GM106" s="31"/>
      <c r="GN106" s="31"/>
      <c r="GO106" s="31"/>
      <c r="GP106" s="31"/>
      <c r="GQ106" s="31"/>
      <c r="GR106" s="31"/>
      <c r="GS106" s="31"/>
      <c r="GT106" s="31"/>
      <c r="GU106" s="31"/>
      <c r="GV106" s="31"/>
      <c r="GW106" s="31"/>
      <c r="GX106" s="31"/>
      <c r="GY106" s="31"/>
      <c r="GZ106" s="31"/>
      <c r="HA106" s="31"/>
      <c r="HB106" s="31"/>
      <c r="HC106" s="31"/>
      <c r="HD106" s="31"/>
      <c r="HE106" s="31"/>
      <c r="HF106" s="31"/>
      <c r="HG106" s="31"/>
      <c r="HH106" s="31"/>
      <c r="HI106" s="31"/>
      <c r="HJ106" s="31"/>
      <c r="HK106" s="31"/>
      <c r="HL106" s="31"/>
      <c r="HM106" s="31"/>
      <c r="HN106" s="31"/>
      <c r="HO106" s="31"/>
      <c r="HP106" s="31"/>
      <c r="HQ106" s="31"/>
      <c r="HR106" s="31"/>
      <c r="HS106" s="31"/>
      <c r="HT106" s="31"/>
      <c r="HU106" s="31"/>
      <c r="HV106" s="31"/>
      <c r="HW106" s="31"/>
      <c r="HX106" s="31"/>
      <c r="HY106" s="31"/>
      <c r="HZ106" s="31"/>
      <c r="IA106" s="31"/>
      <c r="IB106" s="31"/>
      <c r="IC106" s="31"/>
      <c r="ID106" s="31"/>
      <c r="IE106" s="31"/>
      <c r="IF106" s="31"/>
      <c r="IG106" s="31"/>
      <c r="IH106" s="31"/>
      <c r="II106" s="31"/>
      <c r="IJ106" s="31"/>
      <c r="IK106" s="31"/>
      <c r="IL106" s="31"/>
      <c r="IM106" s="31"/>
      <c r="IN106" s="31"/>
      <c r="IO106" s="31"/>
      <c r="IP106" s="31"/>
      <c r="IQ106" s="31"/>
      <c r="IR106" s="31"/>
      <c r="IS106" s="31"/>
      <c r="IT106" s="31"/>
      <c r="IU106" s="31"/>
      <c r="IV106" s="31"/>
      <c r="IW106" s="31"/>
      <c r="IX106" s="31"/>
      <c r="IY106" s="31"/>
      <c r="IZ106" s="31"/>
      <c r="JA106" s="31"/>
      <c r="JB106" s="31"/>
      <c r="JC106" s="31"/>
      <c r="JD106" s="31"/>
      <c r="JE106" s="31"/>
      <c r="JF106" s="31"/>
      <c r="JG106" s="31"/>
      <c r="JH106" s="31"/>
      <c r="JI106" s="31"/>
      <c r="JJ106" s="31"/>
      <c r="JK106" s="31"/>
      <c r="JL106" s="31"/>
      <c r="JM106" s="31"/>
      <c r="JN106" s="31"/>
      <c r="JO106" s="31"/>
      <c r="JP106" s="31"/>
      <c r="JQ106" s="31"/>
      <c r="JR106" s="31"/>
      <c r="JS106" s="31"/>
      <c r="JT106" s="31"/>
      <c r="JU106" s="31"/>
      <c r="JV106" s="31"/>
      <c r="JW106" s="31"/>
      <c r="JX106" s="31"/>
      <c r="JY106" s="31"/>
      <c r="JZ106" s="31"/>
      <c r="KA106" s="31"/>
      <c r="KB106" s="31"/>
      <c r="KC106" s="31"/>
      <c r="KD106" s="31"/>
      <c r="KE106" s="31"/>
      <c r="KF106" s="31"/>
      <c r="KG106" s="31"/>
      <c r="KH106" s="31"/>
      <c r="KI106" s="31"/>
      <c r="KJ106" s="31"/>
      <c r="KK106" s="31"/>
      <c r="KL106" s="31"/>
      <c r="KM106" s="31"/>
      <c r="KN106" s="31"/>
      <c r="KO106" s="31"/>
      <c r="KP106" s="31"/>
      <c r="KQ106" s="31"/>
      <c r="KR106" s="31"/>
      <c r="KS106" s="31"/>
      <c r="KT106" s="31"/>
      <c r="KU106" s="31"/>
      <c r="KV106" s="31"/>
      <c r="KW106" s="31"/>
      <c r="KX106" s="31"/>
      <c r="KY106" s="31"/>
      <c r="KZ106" s="31"/>
      <c r="LA106" s="31"/>
      <c r="LB106" s="31"/>
      <c r="LC106" s="31"/>
      <c r="LD106" s="31"/>
      <c r="LE106" s="31"/>
      <c r="LF106" s="31"/>
      <c r="LG106" s="31"/>
      <c r="LH106" s="31"/>
      <c r="LI106" s="31"/>
      <c r="LJ106" s="31"/>
      <c r="LK106" s="31"/>
      <c r="LL106" s="31"/>
      <c r="LM106" s="31"/>
      <c r="LN106" s="31"/>
      <c r="LO106" s="31"/>
      <c r="LP106" s="31"/>
      <c r="LQ106" s="31"/>
      <c r="LR106" s="31"/>
      <c r="LS106" s="31"/>
      <c r="LT106" s="31"/>
      <c r="LU106" s="31"/>
      <c r="LV106" s="31"/>
      <c r="LW106" s="31"/>
      <c r="LX106" s="31"/>
      <c r="LY106" s="31"/>
      <c r="LZ106" s="31"/>
      <c r="MA106" s="31"/>
      <c r="MB106" s="31"/>
      <c r="MC106" s="31"/>
      <c r="MD106" s="31"/>
      <c r="ME106" s="31"/>
      <c r="MF106" s="31"/>
    </row>
    <row r="107" spans="1:344" ht="50.25" customHeight="1">
      <c r="B107" s="88" t="str">
        <f>'OKR '!D184</f>
        <v>Estabelecer padrões mínimos de troca de dados</v>
      </c>
      <c r="C107" s="88" t="str">
        <f>'OKR '!E184</f>
        <v>Grupo de trabalho</v>
      </c>
      <c r="D107" s="20"/>
      <c r="E107" s="136">
        <f>'OKR '!G184</f>
        <v>46055</v>
      </c>
      <c r="F107" s="136">
        <f>'OKR '!H184</f>
        <v>46265</v>
      </c>
      <c r="G107" s="14"/>
      <c r="H107" s="14"/>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c r="EG107" s="31"/>
      <c r="EH107" s="31"/>
      <c r="EI107" s="31"/>
      <c r="EJ107" s="31"/>
      <c r="EK107" s="31"/>
      <c r="EL107" s="31"/>
      <c r="EM107" s="31"/>
      <c r="EN107" s="31"/>
      <c r="EO107" s="31"/>
      <c r="EP107" s="31"/>
      <c r="EQ107" s="31"/>
      <c r="ER107" s="31"/>
      <c r="ES107" s="31"/>
      <c r="ET107" s="31"/>
      <c r="EU107" s="31"/>
      <c r="EV107" s="31"/>
      <c r="EW107" s="31"/>
      <c r="EX107" s="31"/>
      <c r="EY107" s="31"/>
      <c r="EZ107" s="31"/>
      <c r="FA107" s="31"/>
      <c r="FB107" s="31"/>
      <c r="FC107" s="31"/>
      <c r="FD107" s="31"/>
      <c r="FE107" s="31"/>
      <c r="FF107" s="31"/>
      <c r="FG107" s="31"/>
      <c r="FH107" s="31"/>
      <c r="FI107" s="31"/>
      <c r="FJ107" s="31"/>
      <c r="FK107" s="31"/>
      <c r="FL107" s="31"/>
      <c r="FM107" s="31"/>
      <c r="FN107" s="31"/>
      <c r="FO107" s="31"/>
      <c r="FP107" s="31"/>
      <c r="FQ107" s="31"/>
      <c r="FR107" s="31"/>
      <c r="FS107" s="31"/>
      <c r="FT107" s="31"/>
      <c r="FU107" s="31"/>
      <c r="FV107" s="31"/>
      <c r="FW107" s="31"/>
      <c r="FX107" s="31"/>
      <c r="FY107" s="31"/>
      <c r="FZ107" s="31"/>
      <c r="GA107" s="31"/>
      <c r="GB107" s="31"/>
      <c r="GC107" s="31"/>
      <c r="GD107" s="31"/>
      <c r="GE107" s="31"/>
      <c r="GF107" s="31"/>
      <c r="GG107" s="31"/>
      <c r="GH107" s="31"/>
      <c r="GI107" s="31"/>
      <c r="GJ107" s="31"/>
      <c r="GK107" s="31"/>
      <c r="GL107" s="31"/>
      <c r="GM107" s="31"/>
      <c r="GN107" s="31"/>
      <c r="GO107" s="31"/>
      <c r="GP107" s="31"/>
      <c r="GQ107" s="31"/>
      <c r="GR107" s="31"/>
      <c r="GS107" s="31"/>
      <c r="GT107" s="31"/>
      <c r="GU107" s="31"/>
      <c r="GV107" s="31"/>
      <c r="GW107" s="31"/>
      <c r="GX107" s="31"/>
      <c r="GY107" s="31"/>
      <c r="GZ107" s="31"/>
      <c r="HA107" s="31"/>
      <c r="HB107" s="31"/>
      <c r="HC107" s="31"/>
      <c r="HD107" s="31"/>
      <c r="HE107" s="31"/>
      <c r="HF107" s="31"/>
      <c r="HG107" s="31"/>
      <c r="HH107" s="31"/>
      <c r="HI107" s="31"/>
      <c r="HJ107" s="31"/>
      <c r="HK107" s="31"/>
      <c r="HL107" s="31"/>
      <c r="HM107" s="31"/>
      <c r="HN107" s="31"/>
      <c r="HO107" s="31"/>
      <c r="HP107" s="31"/>
      <c r="HQ107" s="31"/>
      <c r="HR107" s="31"/>
      <c r="HS107" s="31"/>
      <c r="HT107" s="31"/>
      <c r="HU107" s="31"/>
      <c r="HV107" s="31"/>
      <c r="HW107" s="31"/>
      <c r="HX107" s="31"/>
      <c r="HY107" s="31"/>
      <c r="HZ107" s="31"/>
      <c r="IA107" s="31"/>
      <c r="IB107" s="31"/>
      <c r="IC107" s="31"/>
      <c r="ID107" s="31"/>
      <c r="IE107" s="31"/>
      <c r="IF107" s="31"/>
      <c r="IG107" s="31"/>
      <c r="IH107" s="31"/>
      <c r="II107" s="31"/>
      <c r="IJ107" s="31"/>
      <c r="IK107" s="31"/>
      <c r="IL107" s="31"/>
      <c r="IM107" s="31"/>
      <c r="IN107" s="31"/>
      <c r="IO107" s="31"/>
      <c r="IP107" s="31"/>
      <c r="IQ107" s="31"/>
      <c r="IR107" s="31"/>
      <c r="IS107" s="31"/>
      <c r="IT107" s="31"/>
      <c r="IU107" s="31"/>
      <c r="IV107" s="31"/>
      <c r="IW107" s="31"/>
      <c r="IX107" s="31"/>
      <c r="IY107" s="31"/>
      <c r="IZ107" s="31"/>
      <c r="JA107" s="31"/>
      <c r="JB107" s="31"/>
      <c r="JC107" s="31"/>
      <c r="JD107" s="31"/>
      <c r="JE107" s="31"/>
      <c r="JF107" s="31"/>
      <c r="JG107" s="31"/>
      <c r="JH107" s="31"/>
      <c r="JI107" s="31"/>
      <c r="JJ107" s="31"/>
      <c r="JK107" s="31"/>
      <c r="JL107" s="31"/>
      <c r="JM107" s="31"/>
      <c r="JN107" s="31"/>
      <c r="JO107" s="31"/>
      <c r="JP107" s="31"/>
      <c r="JQ107" s="31"/>
      <c r="JR107" s="31"/>
      <c r="JS107" s="31"/>
      <c r="JT107" s="31"/>
      <c r="JU107" s="31"/>
      <c r="JV107" s="31"/>
      <c r="JW107" s="31"/>
      <c r="JX107" s="31"/>
      <c r="JY107" s="31"/>
      <c r="JZ107" s="31"/>
      <c r="KA107" s="31"/>
      <c r="KB107" s="31"/>
      <c r="KC107" s="31"/>
      <c r="KD107" s="31"/>
      <c r="KE107" s="31"/>
      <c r="KF107" s="31"/>
      <c r="KG107" s="31"/>
      <c r="KH107" s="31"/>
      <c r="KI107" s="31"/>
      <c r="KJ107" s="31"/>
      <c r="KK107" s="31"/>
      <c r="KL107" s="31"/>
      <c r="KM107" s="31"/>
      <c r="KN107" s="31"/>
      <c r="KO107" s="31"/>
      <c r="KP107" s="31"/>
      <c r="KQ107" s="31"/>
      <c r="KR107" s="31"/>
      <c r="KS107" s="31"/>
      <c r="KT107" s="31"/>
      <c r="KU107" s="31"/>
      <c r="KV107" s="31"/>
      <c r="KW107" s="31"/>
      <c r="KX107" s="31"/>
      <c r="KY107" s="31"/>
      <c r="KZ107" s="31"/>
      <c r="LA107" s="31"/>
      <c r="LB107" s="31"/>
      <c r="LC107" s="31"/>
      <c r="LD107" s="31"/>
      <c r="LE107" s="31"/>
      <c r="LF107" s="31"/>
      <c r="LG107" s="31"/>
      <c r="LH107" s="31"/>
      <c r="LI107" s="31"/>
      <c r="LJ107" s="31"/>
      <c r="LK107" s="31"/>
      <c r="LL107" s="31"/>
      <c r="LM107" s="31"/>
      <c r="LN107" s="31"/>
      <c r="LO107" s="31"/>
      <c r="LP107" s="31"/>
      <c r="LQ107" s="31"/>
      <c r="LR107" s="31"/>
      <c r="LS107" s="31"/>
      <c r="LT107" s="31"/>
      <c r="LU107" s="31"/>
      <c r="LV107" s="31"/>
      <c r="LW107" s="31"/>
      <c r="LX107" s="31"/>
      <c r="LY107" s="31"/>
      <c r="LZ107" s="31"/>
      <c r="MA107" s="31"/>
      <c r="MB107" s="31"/>
      <c r="MC107" s="31"/>
      <c r="MD107" s="31"/>
      <c r="ME107" s="31"/>
      <c r="MF107" s="31"/>
    </row>
    <row r="108" spans="1:344" ht="50.25" customHeight="1">
      <c r="B108" s="88" t="str">
        <f>'OKR '!D185</f>
        <v>Definir padrões básicos de interoperabilidade conforme orientação estadual</v>
      </c>
      <c r="C108" s="88" t="str">
        <f>'OKR '!E185</f>
        <v>Grupo de trabalho, NSDIGI</v>
      </c>
      <c r="D108" s="20"/>
      <c r="E108" s="136">
        <f>'OKR '!G185</f>
        <v>46055</v>
      </c>
      <c r="F108" s="136">
        <f>'OKR '!H185</f>
        <v>46265</v>
      </c>
      <c r="G108" s="14"/>
      <c r="H108" s="14"/>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c r="EG108" s="31"/>
      <c r="EH108" s="31"/>
      <c r="EI108" s="31"/>
      <c r="EJ108" s="31"/>
      <c r="EK108" s="31"/>
      <c r="EL108" s="31"/>
      <c r="EM108" s="31"/>
      <c r="EN108" s="31"/>
      <c r="EO108" s="31"/>
      <c r="EP108" s="31"/>
      <c r="EQ108" s="31"/>
      <c r="ER108" s="31"/>
      <c r="ES108" s="31"/>
      <c r="ET108" s="31"/>
      <c r="EU108" s="31"/>
      <c r="EV108" s="31"/>
      <c r="EW108" s="31"/>
      <c r="EX108" s="31"/>
      <c r="EY108" s="31"/>
      <c r="EZ108" s="31"/>
      <c r="FA108" s="31"/>
      <c r="FB108" s="31"/>
      <c r="FC108" s="31"/>
      <c r="FD108" s="31"/>
      <c r="FE108" s="31"/>
      <c r="FF108" s="31"/>
      <c r="FG108" s="31"/>
      <c r="FH108" s="31"/>
      <c r="FI108" s="31"/>
      <c r="FJ108" s="31"/>
      <c r="FK108" s="31"/>
      <c r="FL108" s="31"/>
      <c r="FM108" s="31"/>
      <c r="FN108" s="31"/>
      <c r="FO108" s="31"/>
      <c r="FP108" s="31"/>
      <c r="FQ108" s="31"/>
      <c r="FR108" s="31"/>
      <c r="FS108" s="31"/>
      <c r="FT108" s="31"/>
      <c r="FU108" s="31"/>
      <c r="FV108" s="31"/>
      <c r="FW108" s="31"/>
      <c r="FX108" s="31"/>
      <c r="FY108" s="31"/>
      <c r="FZ108" s="31"/>
      <c r="GA108" s="31"/>
      <c r="GB108" s="31"/>
      <c r="GC108" s="31"/>
      <c r="GD108" s="31"/>
      <c r="GE108" s="31"/>
      <c r="GF108" s="31"/>
      <c r="GG108" s="31"/>
      <c r="GH108" s="31"/>
      <c r="GI108" s="31"/>
      <c r="GJ108" s="31"/>
      <c r="GK108" s="31"/>
      <c r="GL108" s="31"/>
      <c r="GM108" s="31"/>
      <c r="GN108" s="31"/>
      <c r="GO108" s="31"/>
      <c r="GP108" s="31"/>
      <c r="GQ108" s="31"/>
      <c r="GR108" s="31"/>
      <c r="GS108" s="31"/>
      <c r="GT108" s="31"/>
      <c r="GU108" s="31"/>
      <c r="GV108" s="31"/>
      <c r="GW108" s="31"/>
      <c r="GX108" s="31"/>
      <c r="GY108" s="31"/>
      <c r="GZ108" s="31"/>
      <c r="HA108" s="31"/>
      <c r="HB108" s="31"/>
      <c r="HC108" s="31"/>
      <c r="HD108" s="31"/>
      <c r="HE108" s="31"/>
      <c r="HF108" s="31"/>
      <c r="HG108" s="31"/>
      <c r="HH108" s="31"/>
      <c r="HI108" s="31"/>
      <c r="HJ108" s="31"/>
      <c r="HK108" s="31"/>
      <c r="HL108" s="31"/>
      <c r="HM108" s="31"/>
      <c r="HN108" s="31"/>
      <c r="HO108" s="31"/>
      <c r="HP108" s="31"/>
      <c r="HQ108" s="31"/>
      <c r="HR108" s="31"/>
      <c r="HS108" s="31"/>
      <c r="HT108" s="31"/>
      <c r="HU108" s="31"/>
      <c r="HV108" s="31"/>
      <c r="HW108" s="31"/>
      <c r="HX108" s="31"/>
      <c r="HY108" s="31"/>
      <c r="HZ108" s="31"/>
      <c r="IA108" s="31"/>
      <c r="IB108" s="31"/>
      <c r="IC108" s="31"/>
      <c r="ID108" s="31"/>
      <c r="IE108" s="31"/>
      <c r="IF108" s="31"/>
      <c r="IG108" s="31"/>
      <c r="IH108" s="31"/>
      <c r="II108" s="31"/>
      <c r="IJ108" s="31"/>
      <c r="IK108" s="31"/>
      <c r="IL108" s="31"/>
      <c r="IM108" s="31"/>
      <c r="IN108" s="31"/>
      <c r="IO108" s="31"/>
      <c r="IP108" s="31"/>
      <c r="IQ108" s="31"/>
      <c r="IR108" s="31"/>
      <c r="IS108" s="31"/>
      <c r="IT108" s="31"/>
      <c r="IU108" s="31"/>
      <c r="IV108" s="31"/>
      <c r="IW108" s="31"/>
      <c r="IX108" s="31"/>
      <c r="IY108" s="31"/>
      <c r="IZ108" s="31"/>
      <c r="JA108" s="31"/>
      <c r="JB108" s="31"/>
      <c r="JC108" s="31"/>
      <c r="JD108" s="31"/>
      <c r="JE108" s="31"/>
      <c r="JF108" s="31"/>
      <c r="JG108" s="31"/>
      <c r="JH108" s="31"/>
      <c r="JI108" s="31"/>
      <c r="JJ108" s="31"/>
      <c r="JK108" s="31"/>
      <c r="JL108" s="31"/>
      <c r="JM108" s="31"/>
      <c r="JN108" s="31"/>
      <c r="JO108" s="31"/>
      <c r="JP108" s="31"/>
      <c r="JQ108" s="31"/>
      <c r="JR108" s="31"/>
      <c r="JS108" s="31"/>
      <c r="JT108" s="31"/>
      <c r="JU108" s="31"/>
      <c r="JV108" s="31"/>
      <c r="JW108" s="31"/>
      <c r="JX108" s="31"/>
      <c r="JY108" s="31"/>
      <c r="JZ108" s="31"/>
      <c r="KA108" s="31"/>
      <c r="KB108" s="31"/>
      <c r="KC108" s="31"/>
      <c r="KD108" s="31"/>
      <c r="KE108" s="31"/>
      <c r="KF108" s="31"/>
      <c r="KG108" s="31"/>
      <c r="KH108" s="31"/>
      <c r="KI108" s="31"/>
      <c r="KJ108" s="31"/>
      <c r="KK108" s="31"/>
      <c r="KL108" s="31"/>
      <c r="KM108" s="31"/>
      <c r="KN108" s="31"/>
      <c r="KO108" s="31"/>
      <c r="KP108" s="31"/>
      <c r="KQ108" s="31"/>
      <c r="KR108" s="31"/>
      <c r="KS108" s="31"/>
      <c r="KT108" s="31"/>
      <c r="KU108" s="31"/>
      <c r="KV108" s="31"/>
      <c r="KW108" s="31"/>
      <c r="KX108" s="31"/>
      <c r="KY108" s="31"/>
      <c r="KZ108" s="31"/>
      <c r="LA108" s="31"/>
      <c r="LB108" s="31"/>
      <c r="LC108" s="31"/>
      <c r="LD108" s="31"/>
      <c r="LE108" s="31"/>
      <c r="LF108" s="31"/>
      <c r="LG108" s="31"/>
      <c r="LH108" s="31"/>
      <c r="LI108" s="31"/>
      <c r="LJ108" s="31"/>
      <c r="LK108" s="31"/>
      <c r="LL108" s="31"/>
      <c r="LM108" s="31"/>
      <c r="LN108" s="31"/>
      <c r="LO108" s="31"/>
      <c r="LP108" s="31"/>
      <c r="LQ108" s="31"/>
      <c r="LR108" s="31"/>
      <c r="LS108" s="31"/>
      <c r="LT108" s="31"/>
      <c r="LU108" s="31"/>
      <c r="LV108" s="31"/>
      <c r="LW108" s="31"/>
      <c r="LX108" s="31"/>
      <c r="LY108" s="31"/>
      <c r="LZ108" s="31"/>
      <c r="MA108" s="31"/>
      <c r="MB108" s="31"/>
      <c r="MC108" s="31"/>
      <c r="MD108" s="31"/>
      <c r="ME108" s="31"/>
      <c r="MF108" s="31"/>
    </row>
    <row r="109" spans="1:344" ht="15" hidden="1" customHeight="1">
      <c r="B109" s="88">
        <f>'OKR '!D186</f>
        <v>0</v>
      </c>
      <c r="C109" s="88">
        <f>'OKR '!E186</f>
        <v>0</v>
      </c>
      <c r="D109" s="20"/>
      <c r="E109" s="136">
        <f>'OKR '!G186</f>
        <v>0</v>
      </c>
      <c r="F109" s="136">
        <f>'OKR '!H186</f>
        <v>0</v>
      </c>
      <c r="G109" s="14"/>
      <c r="H109" s="14"/>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c r="EG109" s="31"/>
      <c r="EH109" s="31"/>
      <c r="EI109" s="31"/>
      <c r="EJ109" s="31"/>
      <c r="EK109" s="31"/>
      <c r="EL109" s="31"/>
      <c r="EM109" s="31"/>
      <c r="EN109" s="31"/>
      <c r="EO109" s="31"/>
      <c r="EP109" s="31"/>
      <c r="EQ109" s="31"/>
      <c r="ER109" s="31"/>
      <c r="ES109" s="31"/>
      <c r="ET109" s="31"/>
      <c r="EU109" s="31"/>
      <c r="EV109" s="31"/>
      <c r="EW109" s="31"/>
      <c r="EX109" s="31"/>
      <c r="EY109" s="31"/>
      <c r="EZ109" s="31"/>
      <c r="FA109" s="31"/>
      <c r="FB109" s="31"/>
      <c r="FC109" s="31"/>
      <c r="FD109" s="31"/>
      <c r="FE109" s="31"/>
      <c r="FF109" s="31"/>
      <c r="FG109" s="31"/>
      <c r="FH109" s="31"/>
      <c r="FI109" s="31"/>
      <c r="FJ109" s="31"/>
      <c r="FK109" s="31"/>
      <c r="FL109" s="31"/>
      <c r="FM109" s="31"/>
      <c r="FN109" s="31"/>
      <c r="FO109" s="31"/>
      <c r="FP109" s="31"/>
      <c r="FQ109" s="31"/>
      <c r="FR109" s="31"/>
      <c r="FS109" s="31"/>
      <c r="FT109" s="31"/>
      <c r="FU109" s="31"/>
      <c r="FV109" s="31"/>
      <c r="FW109" s="31"/>
      <c r="FX109" s="31"/>
      <c r="FY109" s="31"/>
      <c r="FZ109" s="31"/>
      <c r="GA109" s="31"/>
      <c r="GB109" s="31"/>
      <c r="GC109" s="31"/>
      <c r="GD109" s="31"/>
      <c r="GE109" s="31"/>
      <c r="GF109" s="31"/>
      <c r="GG109" s="31"/>
      <c r="GH109" s="31"/>
      <c r="GI109" s="31"/>
      <c r="GJ109" s="31"/>
      <c r="GK109" s="31"/>
      <c r="GL109" s="31"/>
      <c r="GM109" s="31"/>
      <c r="GN109" s="31"/>
      <c r="GO109" s="31"/>
      <c r="GP109" s="31"/>
      <c r="GQ109" s="31"/>
      <c r="GR109" s="31"/>
      <c r="GS109" s="31"/>
      <c r="GT109" s="31"/>
      <c r="GU109" s="31"/>
      <c r="GV109" s="31"/>
      <c r="GW109" s="31"/>
      <c r="GX109" s="31"/>
      <c r="GY109" s="31"/>
      <c r="GZ109" s="31"/>
      <c r="HA109" s="31"/>
      <c r="HB109" s="31"/>
      <c r="HC109" s="31"/>
      <c r="HD109" s="31"/>
      <c r="HE109" s="31"/>
      <c r="HF109" s="31"/>
      <c r="HG109" s="31"/>
      <c r="HH109" s="31"/>
      <c r="HI109" s="31"/>
      <c r="HJ109" s="31"/>
      <c r="HK109" s="31"/>
      <c r="HL109" s="31"/>
      <c r="HM109" s="31"/>
      <c r="HN109" s="31"/>
      <c r="HO109" s="31"/>
      <c r="HP109" s="31"/>
      <c r="HQ109" s="31"/>
      <c r="HR109" s="31"/>
      <c r="HS109" s="31"/>
      <c r="HT109" s="31"/>
      <c r="HU109" s="31"/>
      <c r="HV109" s="31"/>
      <c r="HW109" s="31"/>
      <c r="HX109" s="31"/>
      <c r="HY109" s="31"/>
      <c r="HZ109" s="31"/>
      <c r="IA109" s="31"/>
      <c r="IB109" s="31"/>
      <c r="IC109" s="31"/>
      <c r="ID109" s="31"/>
      <c r="IE109" s="31"/>
      <c r="IF109" s="31"/>
      <c r="IG109" s="31"/>
      <c r="IH109" s="31"/>
      <c r="II109" s="31"/>
      <c r="IJ109" s="31"/>
      <c r="IK109" s="31"/>
      <c r="IL109" s="31"/>
      <c r="IM109" s="31"/>
      <c r="IN109" s="31"/>
      <c r="IO109" s="31"/>
      <c r="IP109" s="31"/>
      <c r="IQ109" s="31"/>
      <c r="IR109" s="31"/>
      <c r="IS109" s="31"/>
      <c r="IT109" s="31"/>
      <c r="IU109" s="31"/>
      <c r="IV109" s="31"/>
      <c r="IW109" s="31"/>
      <c r="IX109" s="31"/>
      <c r="IY109" s="31"/>
      <c r="IZ109" s="31"/>
      <c r="JA109" s="31"/>
      <c r="JB109" s="31"/>
      <c r="JC109" s="31"/>
      <c r="JD109" s="31"/>
      <c r="JE109" s="31"/>
      <c r="JF109" s="31"/>
      <c r="JG109" s="31"/>
      <c r="JH109" s="31"/>
      <c r="JI109" s="31"/>
      <c r="JJ109" s="31"/>
      <c r="JK109" s="31"/>
      <c r="JL109" s="31"/>
      <c r="JM109" s="31"/>
      <c r="JN109" s="31"/>
      <c r="JO109" s="31"/>
      <c r="JP109" s="31"/>
      <c r="JQ109" s="31"/>
      <c r="JR109" s="31"/>
      <c r="JS109" s="31"/>
      <c r="JT109" s="31"/>
      <c r="JU109" s="31"/>
      <c r="JV109" s="31"/>
      <c r="JW109" s="31"/>
      <c r="JX109" s="31"/>
      <c r="JY109" s="31"/>
      <c r="JZ109" s="31"/>
      <c r="KA109" s="31"/>
      <c r="KB109" s="31"/>
      <c r="KC109" s="31"/>
      <c r="KD109" s="31"/>
      <c r="KE109" s="31"/>
      <c r="KF109" s="31"/>
      <c r="KG109" s="31"/>
      <c r="KH109" s="31"/>
      <c r="KI109" s="31"/>
      <c r="KJ109" s="31"/>
      <c r="KK109" s="31"/>
      <c r="KL109" s="31"/>
      <c r="KM109" s="31"/>
      <c r="KN109" s="31"/>
      <c r="KO109" s="31"/>
      <c r="KP109" s="31"/>
      <c r="KQ109" s="31"/>
      <c r="KR109" s="31"/>
      <c r="KS109" s="31"/>
      <c r="KT109" s="31"/>
      <c r="KU109" s="31"/>
      <c r="KV109" s="31"/>
      <c r="KW109" s="31"/>
      <c r="KX109" s="31"/>
      <c r="KY109" s="31"/>
      <c r="KZ109" s="31"/>
      <c r="LA109" s="31"/>
      <c r="LB109" s="31"/>
      <c r="LC109" s="31"/>
      <c r="LD109" s="31"/>
      <c r="LE109" s="31"/>
      <c r="LF109" s="31"/>
      <c r="LG109" s="31"/>
      <c r="LH109" s="31"/>
      <c r="LI109" s="31"/>
      <c r="LJ109" s="31"/>
      <c r="LK109" s="31"/>
      <c r="LL109" s="31"/>
      <c r="LM109" s="31"/>
      <c r="LN109" s="31"/>
      <c r="LO109" s="31"/>
      <c r="LP109" s="31"/>
      <c r="LQ109" s="31"/>
      <c r="LR109" s="31"/>
      <c r="LS109" s="31"/>
      <c r="LT109" s="31"/>
      <c r="LU109" s="31"/>
      <c r="LV109" s="31"/>
      <c r="LW109" s="31"/>
      <c r="LX109" s="31"/>
      <c r="LY109" s="31"/>
      <c r="LZ109" s="31"/>
      <c r="MA109" s="31"/>
      <c r="MB109" s="31"/>
      <c r="MC109" s="31"/>
      <c r="MD109" s="31"/>
      <c r="ME109" s="31"/>
      <c r="MF109" s="31"/>
    </row>
    <row r="110" spans="1:344" ht="30" customHeight="1">
      <c r="A110" s="45" t="s">
        <v>170</v>
      </c>
      <c r="B110" s="263" t="str">
        <f>'OKR '!D189</f>
        <v>Capacitar e fortalecer o uso da informação</v>
      </c>
      <c r="C110" s="263"/>
      <c r="D110" s="263"/>
      <c r="E110" s="263"/>
      <c r="F110" s="263"/>
      <c r="G110" s="14"/>
      <c r="H110" s="14" t="str">
        <f t="shared" ca="1" si="332"/>
        <v/>
      </c>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c r="EG110" s="31"/>
      <c r="EH110" s="31"/>
      <c r="EI110" s="31"/>
      <c r="EJ110" s="31"/>
      <c r="EK110" s="31"/>
      <c r="EL110" s="31"/>
      <c r="EM110" s="31"/>
      <c r="EN110" s="31"/>
      <c r="EO110" s="31"/>
      <c r="EP110" s="31"/>
      <c r="EQ110" s="31"/>
      <c r="ER110" s="31"/>
      <c r="ES110" s="31"/>
      <c r="ET110" s="31"/>
      <c r="EU110" s="31"/>
      <c r="EV110" s="31"/>
      <c r="EW110" s="31"/>
      <c r="EX110" s="31"/>
      <c r="EY110" s="31"/>
      <c r="EZ110" s="31"/>
      <c r="FA110" s="31"/>
      <c r="FB110" s="31"/>
      <c r="FC110" s="31"/>
      <c r="FD110" s="31"/>
      <c r="FE110" s="31"/>
      <c r="FF110" s="31"/>
      <c r="FG110" s="31"/>
      <c r="FH110" s="31"/>
      <c r="FI110" s="31"/>
      <c r="FJ110" s="31"/>
      <c r="FK110" s="31"/>
      <c r="FL110" s="31"/>
      <c r="FM110" s="31"/>
      <c r="FN110" s="31"/>
      <c r="FO110" s="31"/>
      <c r="FP110" s="31"/>
      <c r="FQ110" s="31"/>
      <c r="FR110" s="31"/>
      <c r="FS110" s="31"/>
      <c r="FT110" s="31"/>
      <c r="FU110" s="31"/>
      <c r="FV110" s="31"/>
      <c r="FW110" s="31"/>
      <c r="FX110" s="31"/>
      <c r="FY110" s="31"/>
      <c r="FZ110" s="31"/>
      <c r="GA110" s="31"/>
      <c r="GB110" s="31"/>
      <c r="GC110" s="31"/>
      <c r="GD110" s="31"/>
      <c r="GE110" s="31"/>
      <c r="GF110" s="31"/>
      <c r="GG110" s="31"/>
      <c r="GH110" s="31"/>
      <c r="GI110" s="31"/>
      <c r="GJ110" s="31"/>
      <c r="GK110" s="31"/>
      <c r="GL110" s="31"/>
      <c r="GM110" s="31"/>
      <c r="GN110" s="31"/>
      <c r="GO110" s="31"/>
      <c r="GP110" s="31"/>
      <c r="GQ110" s="31"/>
      <c r="GR110" s="31"/>
      <c r="GS110" s="31"/>
      <c r="GT110" s="31"/>
      <c r="GU110" s="31"/>
      <c r="GV110" s="31"/>
      <c r="GW110" s="31"/>
      <c r="GX110" s="31"/>
      <c r="GY110" s="31"/>
      <c r="GZ110" s="31"/>
      <c r="HA110" s="31"/>
      <c r="HB110" s="31"/>
      <c r="HC110" s="31"/>
      <c r="HD110" s="31"/>
      <c r="HE110" s="31"/>
      <c r="HF110" s="31"/>
      <c r="HG110" s="31"/>
      <c r="HH110" s="31"/>
      <c r="HI110" s="31"/>
      <c r="HJ110" s="31"/>
      <c r="HK110" s="31"/>
      <c r="HL110" s="31"/>
      <c r="HM110" s="31"/>
      <c r="HN110" s="31"/>
      <c r="HO110" s="31"/>
      <c r="HP110" s="31"/>
      <c r="HQ110" s="31"/>
      <c r="HR110" s="31"/>
      <c r="HS110" s="31"/>
      <c r="HT110" s="31"/>
      <c r="HU110" s="31"/>
      <c r="HV110" s="31"/>
      <c r="HW110" s="31"/>
      <c r="HX110" s="31"/>
      <c r="HY110" s="31"/>
      <c r="HZ110" s="31"/>
      <c r="IA110" s="31"/>
      <c r="IB110" s="31"/>
      <c r="IC110" s="31"/>
      <c r="ID110" s="31"/>
      <c r="IE110" s="31"/>
      <c r="IF110" s="31"/>
      <c r="IG110" s="31"/>
      <c r="IH110" s="31"/>
      <c r="II110" s="31"/>
      <c r="IJ110" s="31"/>
      <c r="IK110" s="31"/>
      <c r="IL110" s="31"/>
      <c r="IM110" s="31"/>
      <c r="IN110" s="31"/>
      <c r="IO110" s="31"/>
      <c r="IP110" s="31"/>
      <c r="IQ110" s="31"/>
      <c r="IR110" s="31"/>
      <c r="IS110" s="31"/>
      <c r="IT110" s="31"/>
      <c r="IU110" s="31"/>
      <c r="IV110" s="31"/>
      <c r="IW110" s="31"/>
      <c r="IX110" s="31"/>
      <c r="IY110" s="31"/>
      <c r="IZ110" s="31"/>
      <c r="JA110" s="31"/>
      <c r="JB110" s="31"/>
      <c r="JC110" s="31"/>
      <c r="JD110" s="31"/>
      <c r="JE110" s="31"/>
      <c r="JF110" s="31"/>
      <c r="JG110" s="31"/>
      <c r="JH110" s="31"/>
      <c r="JI110" s="31"/>
      <c r="JJ110" s="31"/>
      <c r="JK110" s="31"/>
      <c r="JL110" s="31"/>
      <c r="JM110" s="31"/>
      <c r="JN110" s="31"/>
      <c r="JO110" s="31"/>
      <c r="JP110" s="31"/>
      <c r="JQ110" s="31"/>
      <c r="JR110" s="31"/>
      <c r="JS110" s="31"/>
      <c r="JT110" s="31"/>
      <c r="JU110" s="31"/>
      <c r="JV110" s="31"/>
      <c r="JW110" s="31"/>
      <c r="JX110" s="31"/>
      <c r="JY110" s="31"/>
      <c r="JZ110" s="31"/>
      <c r="KA110" s="31"/>
      <c r="KB110" s="31"/>
      <c r="KC110" s="31"/>
      <c r="KD110" s="31"/>
      <c r="KE110" s="31"/>
      <c r="KF110" s="31"/>
      <c r="KG110" s="31"/>
      <c r="KH110" s="31"/>
      <c r="KI110" s="31"/>
      <c r="KJ110" s="31"/>
      <c r="KK110" s="31"/>
      <c r="KL110" s="31"/>
      <c r="KM110" s="31"/>
      <c r="KN110" s="31"/>
      <c r="KO110" s="31"/>
      <c r="KP110" s="31"/>
      <c r="KQ110" s="31"/>
      <c r="KR110" s="31"/>
      <c r="KS110" s="31"/>
      <c r="KT110" s="31"/>
      <c r="KU110" s="31"/>
      <c r="KV110" s="31"/>
      <c r="KW110" s="31"/>
      <c r="KX110" s="31"/>
      <c r="KY110" s="31"/>
      <c r="KZ110" s="31"/>
      <c r="LA110" s="31"/>
      <c r="LB110" s="31"/>
      <c r="LC110" s="31"/>
      <c r="LD110" s="31"/>
      <c r="LE110" s="31"/>
      <c r="LF110" s="31"/>
      <c r="LG110" s="31"/>
      <c r="LH110" s="31"/>
      <c r="LI110" s="31"/>
      <c r="LJ110" s="31"/>
      <c r="LK110" s="31"/>
      <c r="LL110" s="31"/>
      <c r="LM110" s="31"/>
      <c r="LN110" s="31"/>
      <c r="LO110" s="31"/>
      <c r="LP110" s="31"/>
      <c r="LQ110" s="31"/>
      <c r="LR110" s="31"/>
      <c r="LS110" s="31"/>
      <c r="LT110" s="31"/>
      <c r="LU110" s="31"/>
      <c r="LV110" s="31"/>
      <c r="LW110" s="31"/>
      <c r="LX110" s="31"/>
      <c r="LY110" s="31"/>
      <c r="LZ110" s="31"/>
      <c r="MA110" s="31"/>
      <c r="MB110" s="31"/>
      <c r="MC110" s="31"/>
      <c r="MD110" s="31"/>
      <c r="ME110" s="31"/>
      <c r="MF110" s="31"/>
    </row>
    <row r="111" spans="1:344" ht="39.75" customHeight="1">
      <c r="B111" s="194" t="str">
        <f>'OKR '!D192</f>
        <v>Definir público estratégico para capacitação</v>
      </c>
      <c r="C111" s="195" t="str">
        <f>'OKR '!E192</f>
        <v>Comitê de Governança</v>
      </c>
      <c r="D111" s="19"/>
      <c r="E111" s="196">
        <f>'OKR '!G192</f>
        <v>46113</v>
      </c>
      <c r="F111" s="196">
        <f>'OKR '!H192</f>
        <v>46142</v>
      </c>
      <c r="G111" s="14"/>
      <c r="H111" s="14">
        <f t="shared" ca="1" si="332"/>
        <v>30</v>
      </c>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c r="EG111" s="31"/>
      <c r="EH111" s="31"/>
      <c r="EI111" s="31"/>
      <c r="EJ111" s="31"/>
      <c r="EK111" s="31"/>
      <c r="EL111" s="31"/>
      <c r="EM111" s="31"/>
      <c r="EN111" s="31"/>
      <c r="EO111" s="31"/>
      <c r="EP111" s="31"/>
      <c r="EQ111" s="31"/>
      <c r="ER111" s="31"/>
      <c r="ES111" s="31"/>
      <c r="ET111" s="31"/>
      <c r="EU111" s="31"/>
      <c r="EV111" s="31"/>
      <c r="EW111" s="31"/>
      <c r="EX111" s="31"/>
      <c r="EY111" s="31"/>
      <c r="EZ111" s="31"/>
      <c r="FA111" s="31"/>
      <c r="FB111" s="31"/>
      <c r="FC111" s="31"/>
      <c r="FD111" s="31"/>
      <c r="FE111" s="31"/>
      <c r="FF111" s="31"/>
      <c r="FG111" s="31"/>
      <c r="FH111" s="31"/>
      <c r="FI111" s="31"/>
      <c r="FJ111" s="31"/>
      <c r="FK111" s="31"/>
      <c r="FL111" s="31"/>
      <c r="FM111" s="31"/>
      <c r="FN111" s="31"/>
      <c r="FO111" s="31"/>
      <c r="FP111" s="31"/>
      <c r="FQ111" s="31"/>
      <c r="FR111" s="31"/>
      <c r="FS111" s="31"/>
      <c r="FT111" s="31"/>
      <c r="FU111" s="31"/>
      <c r="FV111" s="31"/>
      <c r="FW111" s="31"/>
      <c r="FX111" s="31"/>
      <c r="FY111" s="31"/>
      <c r="FZ111" s="31"/>
      <c r="GA111" s="31"/>
      <c r="GB111" s="31"/>
      <c r="GC111" s="31"/>
      <c r="GD111" s="31"/>
      <c r="GE111" s="31"/>
      <c r="GF111" s="31"/>
      <c r="GG111" s="31"/>
      <c r="GH111" s="31"/>
      <c r="GI111" s="31"/>
      <c r="GJ111" s="31"/>
      <c r="GK111" s="31"/>
      <c r="GL111" s="31"/>
      <c r="GM111" s="31"/>
      <c r="GN111" s="31"/>
      <c r="GO111" s="31"/>
      <c r="GP111" s="31"/>
      <c r="GQ111" s="31"/>
      <c r="GR111" s="31"/>
      <c r="GS111" s="31"/>
      <c r="GT111" s="31"/>
      <c r="GU111" s="31"/>
      <c r="GV111" s="31"/>
      <c r="GW111" s="31"/>
      <c r="GX111" s="31"/>
      <c r="GY111" s="31"/>
      <c r="GZ111" s="31"/>
      <c r="HA111" s="31"/>
      <c r="HB111" s="31"/>
      <c r="HC111" s="31"/>
      <c r="HD111" s="31"/>
      <c r="HE111" s="31"/>
      <c r="HF111" s="31"/>
      <c r="HG111" s="31"/>
      <c r="HH111" s="31"/>
      <c r="HI111" s="31"/>
      <c r="HJ111" s="31"/>
      <c r="HK111" s="31"/>
      <c r="HL111" s="31"/>
      <c r="HM111" s="31"/>
      <c r="HN111" s="31"/>
      <c r="HO111" s="31"/>
      <c r="HP111" s="31"/>
      <c r="HQ111" s="31"/>
      <c r="HR111" s="31"/>
      <c r="HS111" s="31"/>
      <c r="HT111" s="31"/>
      <c r="HU111" s="31"/>
      <c r="HV111" s="31"/>
      <c r="HW111" s="31"/>
      <c r="HX111" s="31"/>
      <c r="HY111" s="31"/>
      <c r="HZ111" s="31"/>
      <c r="IA111" s="31"/>
      <c r="IB111" s="31"/>
      <c r="IC111" s="31"/>
      <c r="ID111" s="31"/>
      <c r="IE111" s="31"/>
      <c r="IF111" s="31"/>
      <c r="IG111" s="31"/>
      <c r="IH111" s="31"/>
      <c r="II111" s="31"/>
      <c r="IJ111" s="31"/>
      <c r="IK111" s="31"/>
      <c r="IL111" s="31"/>
      <c r="IM111" s="31"/>
      <c r="IN111" s="31"/>
      <c r="IO111" s="31"/>
      <c r="IP111" s="31"/>
      <c r="IQ111" s="31"/>
      <c r="IR111" s="31"/>
      <c r="IS111" s="31"/>
      <c r="IT111" s="31"/>
      <c r="IU111" s="31"/>
      <c r="IV111" s="31"/>
      <c r="IW111" s="31"/>
      <c r="IX111" s="31"/>
      <c r="IY111" s="31"/>
      <c r="IZ111" s="31"/>
      <c r="JA111" s="31"/>
      <c r="JB111" s="31"/>
      <c r="JC111" s="31"/>
      <c r="JD111" s="31"/>
      <c r="JE111" s="31"/>
      <c r="JF111" s="31"/>
      <c r="JG111" s="31"/>
      <c r="JH111" s="31"/>
      <c r="JI111" s="31"/>
      <c r="JJ111" s="31"/>
      <c r="JK111" s="31"/>
      <c r="JL111" s="31"/>
      <c r="JM111" s="31"/>
      <c r="JN111" s="31"/>
      <c r="JO111" s="31"/>
      <c r="JP111" s="31"/>
      <c r="JQ111" s="31"/>
      <c r="JR111" s="31"/>
      <c r="JS111" s="31"/>
      <c r="JT111" s="31"/>
      <c r="JU111" s="31"/>
      <c r="JV111" s="31"/>
      <c r="JW111" s="31"/>
      <c r="JX111" s="31"/>
      <c r="JY111" s="31"/>
      <c r="JZ111" s="31"/>
      <c r="KA111" s="31"/>
      <c r="KB111" s="31"/>
      <c r="KC111" s="31"/>
      <c r="KD111" s="31"/>
      <c r="KE111" s="31"/>
      <c r="KF111" s="31"/>
      <c r="KG111" s="31"/>
      <c r="KH111" s="31"/>
      <c r="KI111" s="31"/>
      <c r="KJ111" s="31"/>
      <c r="KK111" s="31"/>
      <c r="KL111" s="31"/>
      <c r="KM111" s="31"/>
      <c r="KN111" s="31"/>
      <c r="KO111" s="31"/>
      <c r="KP111" s="31"/>
      <c r="KQ111" s="31"/>
      <c r="KR111" s="31"/>
      <c r="KS111" s="31"/>
      <c r="KT111" s="31"/>
      <c r="KU111" s="31"/>
      <c r="KV111" s="31"/>
      <c r="KW111" s="31"/>
      <c r="KX111" s="31"/>
      <c r="KY111" s="31"/>
      <c r="KZ111" s="31"/>
      <c r="LA111" s="31"/>
      <c r="LB111" s="31"/>
      <c r="LC111" s="31"/>
      <c r="LD111" s="31"/>
      <c r="LE111" s="31"/>
      <c r="LF111" s="31"/>
      <c r="LG111" s="31"/>
      <c r="LH111" s="31"/>
      <c r="LI111" s="31"/>
      <c r="LJ111" s="31"/>
      <c r="LK111" s="31"/>
      <c r="LL111" s="31"/>
      <c r="LM111" s="31"/>
      <c r="LN111" s="31"/>
      <c r="LO111" s="31"/>
      <c r="LP111" s="31"/>
      <c r="LQ111" s="31"/>
      <c r="LR111" s="31"/>
      <c r="LS111" s="31"/>
      <c r="LT111" s="31"/>
      <c r="LU111" s="31"/>
      <c r="LV111" s="31"/>
      <c r="LW111" s="31"/>
      <c r="LX111" s="31"/>
      <c r="LY111" s="31"/>
      <c r="LZ111" s="31"/>
      <c r="MA111" s="31"/>
      <c r="MB111" s="31"/>
      <c r="MC111" s="31"/>
      <c r="MD111" s="31"/>
      <c r="ME111" s="31"/>
      <c r="MF111" s="31"/>
    </row>
    <row r="112" spans="1:344" ht="39.75" customHeight="1">
      <c r="B112" s="194" t="str">
        <f>'OKR '!D193</f>
        <v>Definir instrumentos e periodicidade de capacitação</v>
      </c>
      <c r="C112" s="195" t="str">
        <f>'OKR '!E193</f>
        <v>Comitê de Governança</v>
      </c>
      <c r="D112" s="19"/>
      <c r="E112" s="196">
        <f>'OKR '!G193</f>
        <v>46113</v>
      </c>
      <c r="F112" s="196">
        <f>'OKR '!H193</f>
        <v>46142</v>
      </c>
      <c r="G112" s="14"/>
      <c r="H112" s="14">
        <f t="shared" ca="1" si="332"/>
        <v>30</v>
      </c>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c r="EG112" s="31"/>
      <c r="EH112" s="31"/>
      <c r="EI112" s="31"/>
      <c r="EJ112" s="31"/>
      <c r="EK112" s="31"/>
      <c r="EL112" s="31"/>
      <c r="EM112" s="31"/>
      <c r="EN112" s="31"/>
      <c r="EO112" s="31"/>
      <c r="EP112" s="31"/>
      <c r="EQ112" s="31"/>
      <c r="ER112" s="31"/>
      <c r="ES112" s="31"/>
      <c r="ET112" s="31"/>
      <c r="EU112" s="31"/>
      <c r="EV112" s="31"/>
      <c r="EW112" s="31"/>
      <c r="EX112" s="31"/>
      <c r="EY112" s="31"/>
      <c r="EZ112" s="31"/>
      <c r="FA112" s="31"/>
      <c r="FB112" s="31"/>
      <c r="FC112" s="31"/>
      <c r="FD112" s="31"/>
      <c r="FE112" s="31"/>
      <c r="FF112" s="31"/>
      <c r="FG112" s="31"/>
      <c r="FH112" s="31"/>
      <c r="FI112" s="31"/>
      <c r="FJ112" s="31"/>
      <c r="FK112" s="31"/>
      <c r="FL112" s="31"/>
      <c r="FM112" s="31"/>
      <c r="FN112" s="31"/>
      <c r="FO112" s="31"/>
      <c r="FP112" s="31"/>
      <c r="FQ112" s="31"/>
      <c r="FR112" s="31"/>
      <c r="FS112" s="31"/>
      <c r="FT112" s="31"/>
      <c r="FU112" s="31"/>
      <c r="FV112" s="31"/>
      <c r="FW112" s="31"/>
      <c r="FX112" s="31"/>
      <c r="FY112" s="31"/>
      <c r="FZ112" s="31"/>
      <c r="GA112" s="31"/>
      <c r="GB112" s="31"/>
      <c r="GC112" s="31"/>
      <c r="GD112" s="31"/>
      <c r="GE112" s="31"/>
      <c r="GF112" s="31"/>
      <c r="GG112" s="31"/>
      <c r="GH112" s="31"/>
      <c r="GI112" s="31"/>
      <c r="GJ112" s="31"/>
      <c r="GK112" s="31"/>
      <c r="GL112" s="31"/>
      <c r="GM112" s="31"/>
      <c r="GN112" s="31"/>
      <c r="GO112" s="31"/>
      <c r="GP112" s="31"/>
      <c r="GQ112" s="31"/>
      <c r="GR112" s="31"/>
      <c r="GS112" s="31"/>
      <c r="GT112" s="31"/>
      <c r="GU112" s="31"/>
      <c r="GV112" s="31"/>
      <c r="GW112" s="31"/>
      <c r="GX112" s="31"/>
      <c r="GY112" s="31"/>
      <c r="GZ112" s="31"/>
      <c r="HA112" s="31"/>
      <c r="HB112" s="31"/>
      <c r="HC112" s="31"/>
      <c r="HD112" s="31"/>
      <c r="HE112" s="31"/>
      <c r="HF112" s="31"/>
      <c r="HG112" s="31"/>
      <c r="HH112" s="31"/>
      <c r="HI112" s="31"/>
      <c r="HJ112" s="31"/>
      <c r="HK112" s="31"/>
      <c r="HL112" s="31"/>
      <c r="HM112" s="31"/>
      <c r="HN112" s="31"/>
      <c r="HO112" s="31"/>
      <c r="HP112" s="31"/>
      <c r="HQ112" s="31"/>
      <c r="HR112" s="31"/>
      <c r="HS112" s="31"/>
      <c r="HT112" s="31"/>
      <c r="HU112" s="31"/>
      <c r="HV112" s="31"/>
      <c r="HW112" s="31"/>
      <c r="HX112" s="31"/>
      <c r="HY112" s="31"/>
      <c r="HZ112" s="31"/>
      <c r="IA112" s="31"/>
      <c r="IB112" s="31"/>
      <c r="IC112" s="31"/>
      <c r="ID112" s="31"/>
      <c r="IE112" s="31"/>
      <c r="IF112" s="31"/>
      <c r="IG112" s="31"/>
      <c r="IH112" s="31"/>
      <c r="II112" s="31"/>
      <c r="IJ112" s="31"/>
      <c r="IK112" s="31"/>
      <c r="IL112" s="31"/>
      <c r="IM112" s="31"/>
      <c r="IN112" s="31"/>
      <c r="IO112" s="31"/>
      <c r="IP112" s="31"/>
      <c r="IQ112" s="31"/>
      <c r="IR112" s="31"/>
      <c r="IS112" s="31"/>
      <c r="IT112" s="31"/>
      <c r="IU112" s="31"/>
      <c r="IV112" s="31"/>
      <c r="IW112" s="31"/>
      <c r="IX112" s="31"/>
      <c r="IY112" s="31"/>
      <c r="IZ112" s="31"/>
      <c r="JA112" s="31"/>
      <c r="JB112" s="31"/>
      <c r="JC112" s="31"/>
      <c r="JD112" s="31"/>
      <c r="JE112" s="31"/>
      <c r="JF112" s="31"/>
      <c r="JG112" s="31"/>
      <c r="JH112" s="31"/>
      <c r="JI112" s="31"/>
      <c r="JJ112" s="31"/>
      <c r="JK112" s="31"/>
      <c r="JL112" s="31"/>
      <c r="JM112" s="31"/>
      <c r="JN112" s="31"/>
      <c r="JO112" s="31"/>
      <c r="JP112" s="31"/>
      <c r="JQ112" s="31"/>
      <c r="JR112" s="31"/>
      <c r="JS112" s="31"/>
      <c r="JT112" s="31"/>
      <c r="JU112" s="31"/>
      <c r="JV112" s="31"/>
      <c r="JW112" s="31"/>
      <c r="JX112" s="31"/>
      <c r="JY112" s="31"/>
      <c r="JZ112" s="31"/>
      <c r="KA112" s="31"/>
      <c r="KB112" s="31"/>
      <c r="KC112" s="31"/>
      <c r="KD112" s="31"/>
      <c r="KE112" s="31"/>
      <c r="KF112" s="31"/>
      <c r="KG112" s="31"/>
      <c r="KH112" s="31"/>
      <c r="KI112" s="31"/>
      <c r="KJ112" s="31"/>
      <c r="KK112" s="31"/>
      <c r="KL112" s="31"/>
      <c r="KM112" s="31"/>
      <c r="KN112" s="31"/>
      <c r="KO112" s="31"/>
      <c r="KP112" s="31"/>
      <c r="KQ112" s="31"/>
      <c r="KR112" s="31"/>
      <c r="KS112" s="31"/>
      <c r="KT112" s="31"/>
      <c r="KU112" s="31"/>
      <c r="KV112" s="31"/>
      <c r="KW112" s="31"/>
      <c r="KX112" s="31"/>
      <c r="KY112" s="31"/>
      <c r="KZ112" s="31"/>
      <c r="LA112" s="31"/>
      <c r="LB112" s="31"/>
      <c r="LC112" s="31"/>
      <c r="LD112" s="31"/>
      <c r="LE112" s="31"/>
      <c r="LF112" s="31"/>
      <c r="LG112" s="31"/>
      <c r="LH112" s="31"/>
      <c r="LI112" s="31"/>
      <c r="LJ112" s="31"/>
      <c r="LK112" s="31"/>
      <c r="LL112" s="31"/>
      <c r="LM112" s="31"/>
      <c r="LN112" s="31"/>
      <c r="LO112" s="31"/>
      <c r="LP112" s="31"/>
      <c r="LQ112" s="31"/>
      <c r="LR112" s="31"/>
      <c r="LS112" s="31"/>
      <c r="LT112" s="31"/>
      <c r="LU112" s="31"/>
      <c r="LV112" s="31"/>
      <c r="LW112" s="31"/>
      <c r="LX112" s="31"/>
      <c r="LY112" s="31"/>
      <c r="LZ112" s="31"/>
      <c r="MA112" s="31"/>
      <c r="MB112" s="31"/>
      <c r="MC112" s="31"/>
      <c r="MD112" s="31"/>
      <c r="ME112" s="31"/>
      <c r="MF112" s="31"/>
    </row>
    <row r="113" spans="2:344" ht="39.75" customHeight="1">
      <c r="B113" s="194" t="str">
        <f>'OKR '!D194</f>
        <v>Estabelecer formatos adequados (oficinas, apoio técnico, materiais)</v>
      </c>
      <c r="C113" s="195" t="str">
        <f>'OKR '!E194</f>
        <v>Comitê de Governança</v>
      </c>
      <c r="D113" s="19"/>
      <c r="E113" s="196">
        <f>'OKR '!G194</f>
        <v>46113</v>
      </c>
      <c r="F113" s="196">
        <f>'OKR '!H194</f>
        <v>46142</v>
      </c>
      <c r="G113" s="14"/>
      <c r="H113" s="14"/>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c r="EG113" s="31"/>
      <c r="EH113" s="31"/>
      <c r="EI113" s="31"/>
      <c r="EJ113" s="31"/>
      <c r="EK113" s="31"/>
      <c r="EL113" s="31"/>
      <c r="EM113" s="31"/>
      <c r="EN113" s="31"/>
      <c r="EO113" s="31"/>
      <c r="EP113" s="31"/>
      <c r="EQ113" s="31"/>
      <c r="ER113" s="31"/>
      <c r="ES113" s="31"/>
      <c r="ET113" s="31"/>
      <c r="EU113" s="31"/>
      <c r="EV113" s="31"/>
      <c r="EW113" s="31"/>
      <c r="EX113" s="31"/>
      <c r="EY113" s="31"/>
      <c r="EZ113" s="31"/>
      <c r="FA113" s="31"/>
      <c r="FB113" s="31"/>
      <c r="FC113" s="31"/>
      <c r="FD113" s="31"/>
      <c r="FE113" s="31"/>
      <c r="FF113" s="31"/>
      <c r="FG113" s="31"/>
      <c r="FH113" s="31"/>
      <c r="FI113" s="31"/>
      <c r="FJ113" s="31"/>
      <c r="FK113" s="31"/>
      <c r="FL113" s="31"/>
      <c r="FM113" s="31"/>
      <c r="FN113" s="31"/>
      <c r="FO113" s="31"/>
      <c r="FP113" s="31"/>
      <c r="FQ113" s="31"/>
      <c r="FR113" s="31"/>
      <c r="FS113" s="31"/>
      <c r="FT113" s="31"/>
      <c r="FU113" s="31"/>
      <c r="FV113" s="31"/>
      <c r="FW113" s="31"/>
      <c r="FX113" s="31"/>
      <c r="FY113" s="31"/>
      <c r="FZ113" s="31"/>
      <c r="GA113" s="31"/>
      <c r="GB113" s="31"/>
      <c r="GC113" s="31"/>
      <c r="GD113" s="31"/>
      <c r="GE113" s="31"/>
      <c r="GF113" s="31"/>
      <c r="GG113" s="31"/>
      <c r="GH113" s="31"/>
      <c r="GI113" s="31"/>
      <c r="GJ113" s="31"/>
      <c r="GK113" s="31"/>
      <c r="GL113" s="31"/>
      <c r="GM113" s="31"/>
      <c r="GN113" s="31"/>
      <c r="GO113" s="31"/>
      <c r="GP113" s="31"/>
      <c r="GQ113" s="31"/>
      <c r="GR113" s="31"/>
      <c r="GS113" s="31"/>
      <c r="GT113" s="31"/>
      <c r="GU113" s="31"/>
      <c r="GV113" s="31"/>
      <c r="GW113" s="31"/>
      <c r="GX113" s="31"/>
      <c r="GY113" s="31"/>
      <c r="GZ113" s="31"/>
      <c r="HA113" s="31"/>
      <c r="HB113" s="31"/>
      <c r="HC113" s="31"/>
      <c r="HD113" s="31"/>
      <c r="HE113" s="31"/>
      <c r="HF113" s="31"/>
      <c r="HG113" s="31"/>
      <c r="HH113" s="31"/>
      <c r="HI113" s="31"/>
      <c r="HJ113" s="31"/>
      <c r="HK113" s="31"/>
      <c r="HL113" s="31"/>
      <c r="HM113" s="31"/>
      <c r="HN113" s="31"/>
      <c r="HO113" s="31"/>
      <c r="HP113" s="31"/>
      <c r="HQ113" s="31"/>
      <c r="HR113" s="31"/>
      <c r="HS113" s="31"/>
      <c r="HT113" s="31"/>
      <c r="HU113" s="31"/>
      <c r="HV113" s="31"/>
      <c r="HW113" s="31"/>
      <c r="HX113" s="31"/>
      <c r="HY113" s="31"/>
      <c r="HZ113" s="31"/>
      <c r="IA113" s="31"/>
      <c r="IB113" s="31"/>
      <c r="IC113" s="31"/>
      <c r="ID113" s="31"/>
      <c r="IE113" s="31"/>
      <c r="IF113" s="31"/>
      <c r="IG113" s="31"/>
      <c r="IH113" s="31"/>
      <c r="II113" s="31"/>
      <c r="IJ113" s="31"/>
      <c r="IK113" s="31"/>
      <c r="IL113" s="31"/>
      <c r="IM113" s="31"/>
      <c r="IN113" s="31"/>
      <c r="IO113" s="31"/>
      <c r="IP113" s="31"/>
      <c r="IQ113" s="31"/>
      <c r="IR113" s="31"/>
      <c r="IS113" s="31"/>
      <c r="IT113" s="31"/>
      <c r="IU113" s="31"/>
      <c r="IV113" s="31"/>
      <c r="IW113" s="31"/>
      <c r="IX113" s="31"/>
      <c r="IY113" s="31"/>
      <c r="IZ113" s="31"/>
      <c r="JA113" s="31"/>
      <c r="JB113" s="31"/>
      <c r="JC113" s="31"/>
      <c r="JD113" s="31"/>
      <c r="JE113" s="31"/>
      <c r="JF113" s="31"/>
      <c r="JG113" s="31"/>
      <c r="JH113" s="31"/>
      <c r="JI113" s="31"/>
      <c r="JJ113" s="31"/>
      <c r="JK113" s="31"/>
      <c r="JL113" s="31"/>
      <c r="JM113" s="31"/>
      <c r="JN113" s="31"/>
      <c r="JO113" s="31"/>
      <c r="JP113" s="31"/>
      <c r="JQ113" s="31"/>
      <c r="JR113" s="31"/>
      <c r="JS113" s="31"/>
      <c r="JT113" s="31"/>
      <c r="JU113" s="31"/>
      <c r="JV113" s="31"/>
      <c r="JW113" s="31"/>
      <c r="JX113" s="31"/>
      <c r="JY113" s="31"/>
      <c r="JZ113" s="31"/>
      <c r="KA113" s="31"/>
      <c r="KB113" s="31"/>
      <c r="KC113" s="31"/>
      <c r="KD113" s="31"/>
      <c r="KE113" s="31"/>
      <c r="KF113" s="31"/>
      <c r="KG113" s="31"/>
      <c r="KH113" s="31"/>
      <c r="KI113" s="31"/>
      <c r="KJ113" s="31"/>
      <c r="KK113" s="31"/>
      <c r="KL113" s="31"/>
      <c r="KM113" s="31"/>
      <c r="KN113" s="31"/>
      <c r="KO113" s="31"/>
      <c r="KP113" s="31"/>
      <c r="KQ113" s="31"/>
      <c r="KR113" s="31"/>
      <c r="KS113" s="31"/>
      <c r="KT113" s="31"/>
      <c r="KU113" s="31"/>
      <c r="KV113" s="31"/>
      <c r="KW113" s="31"/>
      <c r="KX113" s="31"/>
      <c r="KY113" s="31"/>
      <c r="KZ113" s="31"/>
      <c r="LA113" s="31"/>
      <c r="LB113" s="31"/>
      <c r="LC113" s="31"/>
      <c r="LD113" s="31"/>
      <c r="LE113" s="31"/>
      <c r="LF113" s="31"/>
      <c r="LG113" s="31"/>
      <c r="LH113" s="31"/>
      <c r="LI113" s="31"/>
      <c r="LJ113" s="31"/>
      <c r="LK113" s="31"/>
      <c r="LL113" s="31"/>
      <c r="LM113" s="31"/>
      <c r="LN113" s="31"/>
      <c r="LO113" s="31"/>
      <c r="LP113" s="31"/>
      <c r="LQ113" s="31"/>
      <c r="LR113" s="31"/>
      <c r="LS113" s="31"/>
      <c r="LT113" s="31"/>
      <c r="LU113" s="31"/>
      <c r="LV113" s="31"/>
      <c r="LW113" s="31"/>
      <c r="LX113" s="31"/>
      <c r="LY113" s="31"/>
      <c r="LZ113" s="31"/>
      <c r="MA113" s="31"/>
      <c r="MB113" s="31"/>
      <c r="MC113" s="31"/>
      <c r="MD113" s="31"/>
      <c r="ME113" s="31"/>
      <c r="MF113" s="31"/>
    </row>
    <row r="114" spans="2:344" ht="39.75" customHeight="1">
      <c r="B114" s="194" t="str">
        <f>'OKR '!D195</f>
        <v>Instituir rotinas de uso da informação</v>
      </c>
      <c r="C114" s="195" t="str">
        <f>'OKR '!E195</f>
        <v>Comitê de Governança</v>
      </c>
      <c r="D114" s="19"/>
      <c r="E114" s="196">
        <f>'OKR '!G195</f>
        <v>46113</v>
      </c>
      <c r="F114" s="196">
        <f>'OKR '!H195</f>
        <v>46173</v>
      </c>
      <c r="G114" s="14"/>
      <c r="H114" s="14"/>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c r="EG114" s="31"/>
      <c r="EH114" s="31"/>
      <c r="EI114" s="31"/>
      <c r="EJ114" s="31"/>
      <c r="EK114" s="31"/>
      <c r="EL114" s="31"/>
      <c r="EM114" s="31"/>
      <c r="EN114" s="31"/>
      <c r="EO114" s="31"/>
      <c r="EP114" s="31"/>
      <c r="EQ114" s="31"/>
      <c r="ER114" s="31"/>
      <c r="ES114" s="31"/>
      <c r="ET114" s="31"/>
      <c r="EU114" s="31"/>
      <c r="EV114" s="31"/>
      <c r="EW114" s="31"/>
      <c r="EX114" s="31"/>
      <c r="EY114" s="31"/>
      <c r="EZ114" s="31"/>
      <c r="FA114" s="31"/>
      <c r="FB114" s="31"/>
      <c r="FC114" s="31"/>
      <c r="FD114" s="31"/>
      <c r="FE114" s="31"/>
      <c r="FF114" s="31"/>
      <c r="FG114" s="31"/>
      <c r="FH114" s="31"/>
      <c r="FI114" s="31"/>
      <c r="FJ114" s="31"/>
      <c r="FK114" s="31"/>
      <c r="FL114" s="31"/>
      <c r="FM114" s="31"/>
      <c r="FN114" s="31"/>
      <c r="FO114" s="31"/>
      <c r="FP114" s="31"/>
      <c r="FQ114" s="31"/>
      <c r="FR114" s="31"/>
      <c r="FS114" s="31"/>
      <c r="FT114" s="31"/>
      <c r="FU114" s="31"/>
      <c r="FV114" s="31"/>
      <c r="FW114" s="31"/>
      <c r="FX114" s="31"/>
      <c r="FY114" s="31"/>
      <c r="FZ114" s="31"/>
      <c r="GA114" s="31"/>
      <c r="GB114" s="31"/>
      <c r="GC114" s="31"/>
      <c r="GD114" s="31"/>
      <c r="GE114" s="31"/>
      <c r="GF114" s="31"/>
      <c r="GG114" s="31"/>
      <c r="GH114" s="31"/>
      <c r="GI114" s="31"/>
      <c r="GJ114" s="31"/>
      <c r="GK114" s="31"/>
      <c r="GL114" s="31"/>
      <c r="GM114" s="31"/>
      <c r="GN114" s="31"/>
      <c r="GO114" s="31"/>
      <c r="GP114" s="31"/>
      <c r="GQ114" s="31"/>
      <c r="GR114" s="31"/>
      <c r="GS114" s="31"/>
      <c r="GT114" s="31"/>
      <c r="GU114" s="31"/>
      <c r="GV114" s="31"/>
      <c r="GW114" s="31"/>
      <c r="GX114" s="31"/>
      <c r="GY114" s="31"/>
      <c r="GZ114" s="31"/>
      <c r="HA114" s="31"/>
      <c r="HB114" s="31"/>
      <c r="HC114" s="31"/>
      <c r="HD114" s="31"/>
      <c r="HE114" s="31"/>
      <c r="HF114" s="31"/>
      <c r="HG114" s="31"/>
      <c r="HH114" s="31"/>
      <c r="HI114" s="31"/>
      <c r="HJ114" s="31"/>
      <c r="HK114" s="31"/>
      <c r="HL114" s="31"/>
      <c r="HM114" s="31"/>
      <c r="HN114" s="31"/>
      <c r="HO114" s="31"/>
      <c r="HP114" s="31"/>
      <c r="HQ114" s="31"/>
      <c r="HR114" s="31"/>
      <c r="HS114" s="31"/>
      <c r="HT114" s="31"/>
      <c r="HU114" s="31"/>
      <c r="HV114" s="31"/>
      <c r="HW114" s="31"/>
      <c r="HX114" s="31"/>
      <c r="HY114" s="31"/>
      <c r="HZ114" s="31"/>
      <c r="IA114" s="31"/>
      <c r="IB114" s="31"/>
      <c r="IC114" s="31"/>
      <c r="ID114" s="31"/>
      <c r="IE114" s="31"/>
      <c r="IF114" s="31"/>
      <c r="IG114" s="31"/>
      <c r="IH114" s="31"/>
      <c r="II114" s="31"/>
      <c r="IJ114" s="31"/>
      <c r="IK114" s="31"/>
      <c r="IL114" s="31"/>
      <c r="IM114" s="31"/>
      <c r="IN114" s="31"/>
      <c r="IO114" s="31"/>
      <c r="IP114" s="31"/>
      <c r="IQ114" s="31"/>
      <c r="IR114" s="31"/>
      <c r="IS114" s="31"/>
      <c r="IT114" s="31"/>
      <c r="IU114" s="31"/>
      <c r="IV114" s="31"/>
      <c r="IW114" s="31"/>
      <c r="IX114" s="31"/>
      <c r="IY114" s="31"/>
      <c r="IZ114" s="31"/>
      <c r="JA114" s="31"/>
      <c r="JB114" s="31"/>
      <c r="JC114" s="31"/>
      <c r="JD114" s="31"/>
      <c r="JE114" s="31"/>
      <c r="JF114" s="31"/>
      <c r="JG114" s="31"/>
      <c r="JH114" s="31"/>
      <c r="JI114" s="31"/>
      <c r="JJ114" s="31"/>
      <c r="JK114" s="31"/>
      <c r="JL114" s="31"/>
      <c r="JM114" s="31"/>
      <c r="JN114" s="31"/>
      <c r="JO114" s="31"/>
      <c r="JP114" s="31"/>
      <c r="JQ114" s="31"/>
      <c r="JR114" s="31"/>
      <c r="JS114" s="31"/>
      <c r="JT114" s="31"/>
      <c r="JU114" s="31"/>
      <c r="JV114" s="31"/>
      <c r="JW114" s="31"/>
      <c r="JX114" s="31"/>
      <c r="JY114" s="31"/>
      <c r="JZ114" s="31"/>
      <c r="KA114" s="31"/>
      <c r="KB114" s="31"/>
      <c r="KC114" s="31"/>
      <c r="KD114" s="31"/>
      <c r="KE114" s="31"/>
      <c r="KF114" s="31"/>
      <c r="KG114" s="31"/>
      <c r="KH114" s="31"/>
      <c r="KI114" s="31"/>
      <c r="KJ114" s="31"/>
      <c r="KK114" s="31"/>
      <c r="KL114" s="31"/>
      <c r="KM114" s="31"/>
      <c r="KN114" s="31"/>
      <c r="KO114" s="31"/>
      <c r="KP114" s="31"/>
      <c r="KQ114" s="31"/>
      <c r="KR114" s="31"/>
      <c r="KS114" s="31"/>
      <c r="KT114" s="31"/>
      <c r="KU114" s="31"/>
      <c r="KV114" s="31"/>
      <c r="KW114" s="31"/>
      <c r="KX114" s="31"/>
      <c r="KY114" s="31"/>
      <c r="KZ114" s="31"/>
      <c r="LA114" s="31"/>
      <c r="LB114" s="31"/>
      <c r="LC114" s="31"/>
      <c r="LD114" s="31"/>
      <c r="LE114" s="31"/>
      <c r="LF114" s="31"/>
      <c r="LG114" s="31"/>
      <c r="LH114" s="31"/>
      <c r="LI114" s="31"/>
      <c r="LJ114" s="31"/>
      <c r="LK114" s="31"/>
      <c r="LL114" s="31"/>
      <c r="LM114" s="31"/>
      <c r="LN114" s="31"/>
      <c r="LO114" s="31"/>
      <c r="LP114" s="31"/>
      <c r="LQ114" s="31"/>
      <c r="LR114" s="31"/>
      <c r="LS114" s="31"/>
      <c r="LT114" s="31"/>
      <c r="LU114" s="31"/>
      <c r="LV114" s="31"/>
      <c r="LW114" s="31"/>
      <c r="LX114" s="31"/>
      <c r="LY114" s="31"/>
      <c r="LZ114" s="31"/>
      <c r="MA114" s="31"/>
      <c r="MB114" s="31"/>
      <c r="MC114" s="31"/>
      <c r="MD114" s="31"/>
      <c r="ME114" s="31"/>
      <c r="MF114" s="31"/>
    </row>
    <row r="115" spans="2:344" ht="39.75" customHeight="1">
      <c r="B115" s="194" t="str">
        <f>'OKR '!D196</f>
        <v>Capacitar para uso da informação na gestão</v>
      </c>
      <c r="C115" s="195" t="str">
        <f>'OKR '!E196</f>
        <v>Comitê de Governança</v>
      </c>
      <c r="D115" s="19"/>
      <c r="E115" s="196">
        <f>'OKR '!G196</f>
        <v>46143</v>
      </c>
      <c r="F115" s="196">
        <f>'OKR '!H196</f>
        <v>46265</v>
      </c>
      <c r="G115" s="14"/>
      <c r="H115" s="14"/>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c r="EG115" s="31"/>
      <c r="EH115" s="31"/>
      <c r="EI115" s="31"/>
      <c r="EJ115" s="31"/>
      <c r="EK115" s="31"/>
      <c r="EL115" s="31"/>
      <c r="EM115" s="31"/>
      <c r="EN115" s="31"/>
      <c r="EO115" s="31"/>
      <c r="EP115" s="31"/>
      <c r="EQ115" s="31"/>
      <c r="ER115" s="31"/>
      <c r="ES115" s="31"/>
      <c r="ET115" s="31"/>
      <c r="EU115" s="31"/>
      <c r="EV115" s="31"/>
      <c r="EW115" s="31"/>
      <c r="EX115" s="31"/>
      <c r="EY115" s="31"/>
      <c r="EZ115" s="31"/>
      <c r="FA115" s="31"/>
      <c r="FB115" s="31"/>
      <c r="FC115" s="31"/>
      <c r="FD115" s="31"/>
      <c r="FE115" s="31"/>
      <c r="FF115" s="31"/>
      <c r="FG115" s="31"/>
      <c r="FH115" s="31"/>
      <c r="FI115" s="31"/>
      <c r="FJ115" s="31"/>
      <c r="FK115" s="31"/>
      <c r="FL115" s="31"/>
      <c r="FM115" s="31"/>
      <c r="FN115" s="31"/>
      <c r="FO115" s="31"/>
      <c r="FP115" s="31"/>
      <c r="FQ115" s="31"/>
      <c r="FR115" s="31"/>
      <c r="FS115" s="31"/>
      <c r="FT115" s="31"/>
      <c r="FU115" s="31"/>
      <c r="FV115" s="31"/>
      <c r="FW115" s="31"/>
      <c r="FX115" s="31"/>
      <c r="FY115" s="31"/>
      <c r="FZ115" s="31"/>
      <c r="GA115" s="31"/>
      <c r="GB115" s="31"/>
      <c r="GC115" s="31"/>
      <c r="GD115" s="31"/>
      <c r="GE115" s="31"/>
      <c r="GF115" s="31"/>
      <c r="GG115" s="31"/>
      <c r="GH115" s="31"/>
      <c r="GI115" s="31"/>
      <c r="GJ115" s="31"/>
      <c r="GK115" s="31"/>
      <c r="GL115" s="31"/>
      <c r="GM115" s="31"/>
      <c r="GN115" s="31"/>
      <c r="GO115" s="31"/>
      <c r="GP115" s="31"/>
      <c r="GQ115" s="31"/>
      <c r="GR115" s="31"/>
      <c r="GS115" s="31"/>
      <c r="GT115" s="31"/>
      <c r="GU115" s="31"/>
      <c r="GV115" s="31"/>
      <c r="GW115" s="31"/>
      <c r="GX115" s="31"/>
      <c r="GY115" s="31"/>
      <c r="GZ115" s="31"/>
      <c r="HA115" s="31"/>
      <c r="HB115" s="31"/>
      <c r="HC115" s="31"/>
      <c r="HD115" s="31"/>
      <c r="HE115" s="31"/>
      <c r="HF115" s="31"/>
      <c r="HG115" s="31"/>
      <c r="HH115" s="31"/>
      <c r="HI115" s="31"/>
      <c r="HJ115" s="31"/>
      <c r="HK115" s="31"/>
      <c r="HL115" s="31"/>
      <c r="HM115" s="31"/>
      <c r="HN115" s="31"/>
      <c r="HO115" s="31"/>
      <c r="HP115" s="31"/>
      <c r="HQ115" s="31"/>
      <c r="HR115" s="31"/>
      <c r="HS115" s="31"/>
      <c r="HT115" s="31"/>
      <c r="HU115" s="31"/>
      <c r="HV115" s="31"/>
      <c r="HW115" s="31"/>
      <c r="HX115" s="31"/>
      <c r="HY115" s="31"/>
      <c r="HZ115" s="31"/>
      <c r="IA115" s="31"/>
      <c r="IB115" s="31"/>
      <c r="IC115" s="31"/>
      <c r="ID115" s="31"/>
      <c r="IE115" s="31"/>
      <c r="IF115" s="31"/>
      <c r="IG115" s="31"/>
      <c r="IH115" s="31"/>
      <c r="II115" s="31"/>
      <c r="IJ115" s="31"/>
      <c r="IK115" s="31"/>
      <c r="IL115" s="31"/>
      <c r="IM115" s="31"/>
      <c r="IN115" s="31"/>
      <c r="IO115" s="31"/>
      <c r="IP115" s="31"/>
      <c r="IQ115" s="31"/>
      <c r="IR115" s="31"/>
      <c r="IS115" s="31"/>
      <c r="IT115" s="31"/>
      <c r="IU115" s="31"/>
      <c r="IV115" s="31"/>
      <c r="IW115" s="31"/>
      <c r="IX115" s="31"/>
      <c r="IY115" s="31"/>
      <c r="IZ115" s="31"/>
      <c r="JA115" s="31"/>
      <c r="JB115" s="31"/>
      <c r="JC115" s="31"/>
      <c r="JD115" s="31"/>
      <c r="JE115" s="31"/>
      <c r="JF115" s="31"/>
      <c r="JG115" s="31"/>
      <c r="JH115" s="31"/>
      <c r="JI115" s="31"/>
      <c r="JJ115" s="31"/>
      <c r="JK115" s="31"/>
      <c r="JL115" s="31"/>
      <c r="JM115" s="31"/>
      <c r="JN115" s="31"/>
      <c r="JO115" s="31"/>
      <c r="JP115" s="31"/>
      <c r="JQ115" s="31"/>
      <c r="JR115" s="31"/>
      <c r="JS115" s="31"/>
      <c r="JT115" s="31"/>
      <c r="JU115" s="31"/>
      <c r="JV115" s="31"/>
      <c r="JW115" s="31"/>
      <c r="JX115" s="31"/>
      <c r="JY115" s="31"/>
      <c r="JZ115" s="31"/>
      <c r="KA115" s="31"/>
      <c r="KB115" s="31"/>
      <c r="KC115" s="31"/>
      <c r="KD115" s="31"/>
      <c r="KE115" s="31"/>
      <c r="KF115" s="31"/>
      <c r="KG115" s="31"/>
      <c r="KH115" s="31"/>
      <c r="KI115" s="31"/>
      <c r="KJ115" s="31"/>
      <c r="KK115" s="31"/>
      <c r="KL115" s="31"/>
      <c r="KM115" s="31"/>
      <c r="KN115" s="31"/>
      <c r="KO115" s="31"/>
      <c r="KP115" s="31"/>
      <c r="KQ115" s="31"/>
      <c r="KR115" s="31"/>
      <c r="KS115" s="31"/>
      <c r="KT115" s="31"/>
      <c r="KU115" s="31"/>
      <c r="KV115" s="31"/>
      <c r="KW115" s="31"/>
      <c r="KX115" s="31"/>
      <c r="KY115" s="31"/>
      <c r="KZ115" s="31"/>
      <c r="LA115" s="31"/>
      <c r="LB115" s="31"/>
      <c r="LC115" s="31"/>
      <c r="LD115" s="31"/>
      <c r="LE115" s="31"/>
      <c r="LF115" s="31"/>
      <c r="LG115" s="31"/>
      <c r="LH115" s="31"/>
      <c r="LI115" s="31"/>
      <c r="LJ115" s="31"/>
      <c r="LK115" s="31"/>
      <c r="LL115" s="31"/>
      <c r="LM115" s="31"/>
      <c r="LN115" s="31"/>
      <c r="LO115" s="31"/>
      <c r="LP115" s="31"/>
      <c r="LQ115" s="31"/>
      <c r="LR115" s="31"/>
      <c r="LS115" s="31"/>
      <c r="LT115" s="31"/>
      <c r="LU115" s="31"/>
      <c r="LV115" s="31"/>
      <c r="LW115" s="31"/>
      <c r="LX115" s="31"/>
      <c r="LY115" s="31"/>
      <c r="LZ115" s="31"/>
      <c r="MA115" s="31"/>
      <c r="MB115" s="31"/>
      <c r="MC115" s="31"/>
      <c r="MD115" s="31"/>
      <c r="ME115" s="31"/>
      <c r="MF115" s="31"/>
    </row>
    <row r="116" spans="2:344" ht="39.75" customHeight="1">
      <c r="B116" s="194" t="str">
        <f>'OKR '!D197</f>
        <v>Capacitar para uso qualificado dos sistemas integrados</v>
      </c>
      <c r="C116" s="195" t="str">
        <f>'OKR '!E197</f>
        <v>Comitê de Governança</v>
      </c>
      <c r="D116" s="19"/>
      <c r="E116" s="196">
        <f>'OKR '!G197</f>
        <v>46143</v>
      </c>
      <c r="F116" s="196">
        <f>'OKR '!H197</f>
        <v>46265</v>
      </c>
      <c r="G116" s="14"/>
      <c r="H116" s="14"/>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c r="EG116" s="31"/>
      <c r="EH116" s="31"/>
      <c r="EI116" s="31"/>
      <c r="EJ116" s="31"/>
      <c r="EK116" s="31"/>
      <c r="EL116" s="31"/>
      <c r="EM116" s="31"/>
      <c r="EN116" s="31"/>
      <c r="EO116" s="31"/>
      <c r="EP116" s="31"/>
      <c r="EQ116" s="31"/>
      <c r="ER116" s="31"/>
      <c r="ES116" s="31"/>
      <c r="ET116" s="31"/>
      <c r="EU116" s="31"/>
      <c r="EV116" s="31"/>
      <c r="EW116" s="31"/>
      <c r="EX116" s="31"/>
      <c r="EY116" s="31"/>
      <c r="EZ116" s="31"/>
      <c r="FA116" s="31"/>
      <c r="FB116" s="31"/>
      <c r="FC116" s="31"/>
      <c r="FD116" s="31"/>
      <c r="FE116" s="31"/>
      <c r="FF116" s="31"/>
      <c r="FG116" s="31"/>
      <c r="FH116" s="31"/>
      <c r="FI116" s="31"/>
      <c r="FJ116" s="31"/>
      <c r="FK116" s="31"/>
      <c r="FL116" s="31"/>
      <c r="FM116" s="31"/>
      <c r="FN116" s="31"/>
      <c r="FO116" s="31"/>
      <c r="FP116" s="31"/>
      <c r="FQ116" s="31"/>
      <c r="FR116" s="31"/>
      <c r="FS116" s="31"/>
      <c r="FT116" s="31"/>
      <c r="FU116" s="31"/>
      <c r="FV116" s="31"/>
      <c r="FW116" s="31"/>
      <c r="FX116" s="31"/>
      <c r="FY116" s="31"/>
      <c r="FZ116" s="31"/>
      <c r="GA116" s="31"/>
      <c r="GB116" s="31"/>
      <c r="GC116" s="31"/>
      <c r="GD116" s="31"/>
      <c r="GE116" s="31"/>
      <c r="GF116" s="31"/>
      <c r="GG116" s="31"/>
      <c r="GH116" s="31"/>
      <c r="GI116" s="31"/>
      <c r="GJ116" s="31"/>
      <c r="GK116" s="31"/>
      <c r="GL116" s="31"/>
      <c r="GM116" s="31"/>
      <c r="GN116" s="31"/>
      <c r="GO116" s="31"/>
      <c r="GP116" s="31"/>
      <c r="GQ116" s="31"/>
      <c r="GR116" s="31"/>
      <c r="GS116" s="31"/>
      <c r="GT116" s="31"/>
      <c r="GU116" s="31"/>
      <c r="GV116" s="31"/>
      <c r="GW116" s="31"/>
      <c r="GX116" s="31"/>
      <c r="GY116" s="31"/>
      <c r="GZ116" s="31"/>
      <c r="HA116" s="31"/>
      <c r="HB116" s="31"/>
      <c r="HC116" s="31"/>
      <c r="HD116" s="31"/>
      <c r="HE116" s="31"/>
      <c r="HF116" s="31"/>
      <c r="HG116" s="31"/>
      <c r="HH116" s="31"/>
      <c r="HI116" s="31"/>
      <c r="HJ116" s="31"/>
      <c r="HK116" s="31"/>
      <c r="HL116" s="31"/>
      <c r="HM116" s="31"/>
      <c r="HN116" s="31"/>
      <c r="HO116" s="31"/>
      <c r="HP116" s="31"/>
      <c r="HQ116" s="31"/>
      <c r="HR116" s="31"/>
      <c r="HS116" s="31"/>
      <c r="HT116" s="31"/>
      <c r="HU116" s="31"/>
      <c r="HV116" s="31"/>
      <c r="HW116" s="31"/>
      <c r="HX116" s="31"/>
      <c r="HY116" s="31"/>
      <c r="HZ116" s="31"/>
      <c r="IA116" s="31"/>
      <c r="IB116" s="31"/>
      <c r="IC116" s="31"/>
      <c r="ID116" s="31"/>
      <c r="IE116" s="31"/>
      <c r="IF116" s="31"/>
      <c r="IG116" s="31"/>
      <c r="IH116" s="31"/>
      <c r="II116" s="31"/>
      <c r="IJ116" s="31"/>
      <c r="IK116" s="31"/>
      <c r="IL116" s="31"/>
      <c r="IM116" s="31"/>
      <c r="IN116" s="31"/>
      <c r="IO116" s="31"/>
      <c r="IP116" s="31"/>
      <c r="IQ116" s="31"/>
      <c r="IR116" s="31"/>
      <c r="IS116" s="31"/>
      <c r="IT116" s="31"/>
      <c r="IU116" s="31"/>
      <c r="IV116" s="31"/>
      <c r="IW116" s="31"/>
      <c r="IX116" s="31"/>
      <c r="IY116" s="31"/>
      <c r="IZ116" s="31"/>
      <c r="JA116" s="31"/>
      <c r="JB116" s="31"/>
      <c r="JC116" s="31"/>
      <c r="JD116" s="31"/>
      <c r="JE116" s="31"/>
      <c r="JF116" s="31"/>
      <c r="JG116" s="31"/>
      <c r="JH116" s="31"/>
      <c r="JI116" s="31"/>
      <c r="JJ116" s="31"/>
      <c r="JK116" s="31"/>
      <c r="JL116" s="31"/>
      <c r="JM116" s="31"/>
      <c r="JN116" s="31"/>
      <c r="JO116" s="31"/>
      <c r="JP116" s="31"/>
      <c r="JQ116" s="31"/>
      <c r="JR116" s="31"/>
      <c r="JS116" s="31"/>
      <c r="JT116" s="31"/>
      <c r="JU116" s="31"/>
      <c r="JV116" s="31"/>
      <c r="JW116" s="31"/>
      <c r="JX116" s="31"/>
      <c r="JY116" s="31"/>
      <c r="JZ116" s="31"/>
      <c r="KA116" s="31"/>
      <c r="KB116" s="31"/>
      <c r="KC116" s="31"/>
      <c r="KD116" s="31"/>
      <c r="KE116" s="31"/>
      <c r="KF116" s="31"/>
      <c r="KG116" s="31"/>
      <c r="KH116" s="31"/>
      <c r="KI116" s="31"/>
      <c r="KJ116" s="31"/>
      <c r="KK116" s="31"/>
      <c r="KL116" s="31"/>
      <c r="KM116" s="31"/>
      <c r="KN116" s="31"/>
      <c r="KO116" s="31"/>
      <c r="KP116" s="31"/>
      <c r="KQ116" s="31"/>
      <c r="KR116" s="31"/>
      <c r="KS116" s="31"/>
      <c r="KT116" s="31"/>
      <c r="KU116" s="31"/>
      <c r="KV116" s="31"/>
      <c r="KW116" s="31"/>
      <c r="KX116" s="31"/>
      <c r="KY116" s="31"/>
      <c r="KZ116" s="31"/>
      <c r="LA116" s="31"/>
      <c r="LB116" s="31"/>
      <c r="LC116" s="31"/>
      <c r="LD116" s="31"/>
      <c r="LE116" s="31"/>
      <c r="LF116" s="31"/>
      <c r="LG116" s="31"/>
      <c r="LH116" s="31"/>
      <c r="LI116" s="31"/>
      <c r="LJ116" s="31"/>
      <c r="LK116" s="31"/>
      <c r="LL116" s="31"/>
      <c r="LM116" s="31"/>
      <c r="LN116" s="31"/>
      <c r="LO116" s="31"/>
      <c r="LP116" s="31"/>
      <c r="LQ116" s="31"/>
      <c r="LR116" s="31"/>
      <c r="LS116" s="31"/>
      <c r="LT116" s="31"/>
      <c r="LU116" s="31"/>
      <c r="LV116" s="31"/>
      <c r="LW116" s="31"/>
      <c r="LX116" s="31"/>
      <c r="LY116" s="31"/>
      <c r="LZ116" s="31"/>
      <c r="MA116" s="31"/>
      <c r="MB116" s="31"/>
      <c r="MC116" s="31"/>
      <c r="MD116" s="31"/>
      <c r="ME116" s="31"/>
      <c r="MF116" s="31"/>
    </row>
    <row r="117" spans="2:344" ht="39.75" customHeight="1">
      <c r="B117" s="194" t="str">
        <f>'OKR '!D198</f>
        <v>Treinar com base nos sistemas efetivamente priorizados</v>
      </c>
      <c r="C117" s="195" t="str">
        <f>'OKR '!E198</f>
        <v>Comitê de Governança</v>
      </c>
      <c r="D117" s="19"/>
      <c r="E117" s="196">
        <f>'OKR '!G198</f>
        <v>46143</v>
      </c>
      <c r="F117" s="196">
        <f>'OKR '!H198</f>
        <v>46265</v>
      </c>
      <c r="G117" s="14"/>
      <c r="H117" s="14"/>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c r="EG117" s="31"/>
      <c r="EH117" s="31"/>
      <c r="EI117" s="31"/>
      <c r="EJ117" s="31"/>
      <c r="EK117" s="31"/>
      <c r="EL117" s="31"/>
      <c r="EM117" s="31"/>
      <c r="EN117" s="31"/>
      <c r="EO117" s="31"/>
      <c r="EP117" s="31"/>
      <c r="EQ117" s="31"/>
      <c r="ER117" s="31"/>
      <c r="ES117" s="31"/>
      <c r="ET117" s="31"/>
      <c r="EU117" s="31"/>
      <c r="EV117" s="31"/>
      <c r="EW117" s="31"/>
      <c r="EX117" s="31"/>
      <c r="EY117" s="31"/>
      <c r="EZ117" s="31"/>
      <c r="FA117" s="31"/>
      <c r="FB117" s="31"/>
      <c r="FC117" s="31"/>
      <c r="FD117" s="31"/>
      <c r="FE117" s="31"/>
      <c r="FF117" s="31"/>
      <c r="FG117" s="31"/>
      <c r="FH117" s="31"/>
      <c r="FI117" s="31"/>
      <c r="FJ117" s="31"/>
      <c r="FK117" s="31"/>
      <c r="FL117" s="31"/>
      <c r="FM117" s="31"/>
      <c r="FN117" s="31"/>
      <c r="FO117" s="31"/>
      <c r="FP117" s="31"/>
      <c r="FQ117" s="31"/>
      <c r="FR117" s="31"/>
      <c r="FS117" s="31"/>
      <c r="FT117" s="31"/>
      <c r="FU117" s="31"/>
      <c r="FV117" s="31"/>
      <c r="FW117" s="31"/>
      <c r="FX117" s="31"/>
      <c r="FY117" s="31"/>
      <c r="FZ117" s="31"/>
      <c r="GA117" s="31"/>
      <c r="GB117" s="31"/>
      <c r="GC117" s="31"/>
      <c r="GD117" s="31"/>
      <c r="GE117" s="31"/>
      <c r="GF117" s="31"/>
      <c r="GG117" s="31"/>
      <c r="GH117" s="31"/>
      <c r="GI117" s="31"/>
      <c r="GJ117" s="31"/>
      <c r="GK117" s="31"/>
      <c r="GL117" s="31"/>
      <c r="GM117" s="31"/>
      <c r="GN117" s="31"/>
      <c r="GO117" s="31"/>
      <c r="GP117" s="31"/>
      <c r="GQ117" s="31"/>
      <c r="GR117" s="31"/>
      <c r="GS117" s="31"/>
      <c r="GT117" s="31"/>
      <c r="GU117" s="31"/>
      <c r="GV117" s="31"/>
      <c r="GW117" s="31"/>
      <c r="GX117" s="31"/>
      <c r="GY117" s="31"/>
      <c r="GZ117" s="31"/>
      <c r="HA117" s="31"/>
      <c r="HB117" s="31"/>
      <c r="HC117" s="31"/>
      <c r="HD117" s="31"/>
      <c r="HE117" s="31"/>
      <c r="HF117" s="31"/>
      <c r="HG117" s="31"/>
      <c r="HH117" s="31"/>
      <c r="HI117" s="31"/>
      <c r="HJ117" s="31"/>
      <c r="HK117" s="31"/>
      <c r="HL117" s="31"/>
      <c r="HM117" s="31"/>
      <c r="HN117" s="31"/>
      <c r="HO117" s="31"/>
      <c r="HP117" s="31"/>
      <c r="HQ117" s="31"/>
      <c r="HR117" s="31"/>
      <c r="HS117" s="31"/>
      <c r="HT117" s="31"/>
      <c r="HU117" s="31"/>
      <c r="HV117" s="31"/>
      <c r="HW117" s="31"/>
      <c r="HX117" s="31"/>
      <c r="HY117" s="31"/>
      <c r="HZ117" s="31"/>
      <c r="IA117" s="31"/>
      <c r="IB117" s="31"/>
      <c r="IC117" s="31"/>
      <c r="ID117" s="31"/>
      <c r="IE117" s="31"/>
      <c r="IF117" s="31"/>
      <c r="IG117" s="31"/>
      <c r="IH117" s="31"/>
      <c r="II117" s="31"/>
      <c r="IJ117" s="31"/>
      <c r="IK117" s="31"/>
      <c r="IL117" s="31"/>
      <c r="IM117" s="31"/>
      <c r="IN117" s="31"/>
      <c r="IO117" s="31"/>
      <c r="IP117" s="31"/>
      <c r="IQ117" s="31"/>
      <c r="IR117" s="31"/>
      <c r="IS117" s="31"/>
      <c r="IT117" s="31"/>
      <c r="IU117" s="31"/>
      <c r="IV117" s="31"/>
      <c r="IW117" s="31"/>
      <c r="IX117" s="31"/>
      <c r="IY117" s="31"/>
      <c r="IZ117" s="31"/>
      <c r="JA117" s="31"/>
      <c r="JB117" s="31"/>
      <c r="JC117" s="31"/>
      <c r="JD117" s="31"/>
      <c r="JE117" s="31"/>
      <c r="JF117" s="31"/>
      <c r="JG117" s="31"/>
      <c r="JH117" s="31"/>
      <c r="JI117" s="31"/>
      <c r="JJ117" s="31"/>
      <c r="JK117" s="31"/>
      <c r="JL117" s="31"/>
      <c r="JM117" s="31"/>
      <c r="JN117" s="31"/>
      <c r="JO117" s="31"/>
      <c r="JP117" s="31"/>
      <c r="JQ117" s="31"/>
      <c r="JR117" s="31"/>
      <c r="JS117" s="31"/>
      <c r="JT117" s="31"/>
      <c r="JU117" s="31"/>
      <c r="JV117" s="31"/>
      <c r="JW117" s="31"/>
      <c r="JX117" s="31"/>
      <c r="JY117" s="31"/>
      <c r="JZ117" s="31"/>
      <c r="KA117" s="31"/>
      <c r="KB117" s="31"/>
      <c r="KC117" s="31"/>
      <c r="KD117" s="31"/>
      <c r="KE117" s="31"/>
      <c r="KF117" s="31"/>
      <c r="KG117" s="31"/>
      <c r="KH117" s="31"/>
      <c r="KI117" s="31"/>
      <c r="KJ117" s="31"/>
      <c r="KK117" s="31"/>
      <c r="KL117" s="31"/>
      <c r="KM117" s="31"/>
      <c r="KN117" s="31"/>
      <c r="KO117" s="31"/>
      <c r="KP117" s="31"/>
      <c r="KQ117" s="31"/>
      <c r="KR117" s="31"/>
      <c r="KS117" s="31"/>
      <c r="KT117" s="31"/>
      <c r="KU117" s="31"/>
      <c r="KV117" s="31"/>
      <c r="KW117" s="31"/>
      <c r="KX117" s="31"/>
      <c r="KY117" s="31"/>
      <c r="KZ117" s="31"/>
      <c r="LA117" s="31"/>
      <c r="LB117" s="31"/>
      <c r="LC117" s="31"/>
      <c r="LD117" s="31"/>
      <c r="LE117" s="31"/>
      <c r="LF117" s="31"/>
      <c r="LG117" s="31"/>
      <c r="LH117" s="31"/>
      <c r="LI117" s="31"/>
      <c r="LJ117" s="31"/>
      <c r="LK117" s="31"/>
      <c r="LL117" s="31"/>
      <c r="LM117" s="31"/>
      <c r="LN117" s="31"/>
      <c r="LO117" s="31"/>
      <c r="LP117" s="31"/>
      <c r="LQ117" s="31"/>
      <c r="LR117" s="31"/>
      <c r="LS117" s="31"/>
      <c r="LT117" s="31"/>
      <c r="LU117" s="31"/>
      <c r="LV117" s="31"/>
      <c r="LW117" s="31"/>
      <c r="LX117" s="31"/>
      <c r="LY117" s="31"/>
      <c r="LZ117" s="31"/>
      <c r="MA117" s="31"/>
      <c r="MB117" s="31"/>
      <c r="MC117" s="31"/>
      <c r="MD117" s="31"/>
      <c r="ME117" s="31"/>
      <c r="MF117" s="31"/>
    </row>
    <row r="118" spans="2:344" ht="39.75" customHeight="1">
      <c r="B118" s="194" t="str">
        <f>'OKR '!D199</f>
        <v>Criar momentos formais de análise de dados</v>
      </c>
      <c r="C118" s="195" t="str">
        <f>'OKR '!E199</f>
        <v>Comitê de Governança</v>
      </c>
      <c r="D118" s="19"/>
      <c r="E118" s="196">
        <f>'OKR '!G199</f>
        <v>46235</v>
      </c>
      <c r="F118" s="196">
        <f>'OKR '!H199</f>
        <v>46387</v>
      </c>
      <c r="G118" s="14"/>
      <c r="H118" s="14"/>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c r="EG118" s="31"/>
      <c r="EH118" s="31"/>
      <c r="EI118" s="31"/>
      <c r="EJ118" s="31"/>
      <c r="EK118" s="31"/>
      <c r="EL118" s="31"/>
      <c r="EM118" s="31"/>
      <c r="EN118" s="31"/>
      <c r="EO118" s="31"/>
      <c r="EP118" s="31"/>
      <c r="EQ118" s="31"/>
      <c r="ER118" s="31"/>
      <c r="ES118" s="31"/>
      <c r="ET118" s="31"/>
      <c r="EU118" s="31"/>
      <c r="EV118" s="31"/>
      <c r="EW118" s="31"/>
      <c r="EX118" s="31"/>
      <c r="EY118" s="31"/>
      <c r="EZ118" s="31"/>
      <c r="FA118" s="31"/>
      <c r="FB118" s="31"/>
      <c r="FC118" s="31"/>
      <c r="FD118" s="31"/>
      <c r="FE118" s="31"/>
      <c r="FF118" s="31"/>
      <c r="FG118" s="31"/>
      <c r="FH118" s="31"/>
      <c r="FI118" s="31"/>
      <c r="FJ118" s="31"/>
      <c r="FK118" s="31"/>
      <c r="FL118" s="31"/>
      <c r="FM118" s="31"/>
      <c r="FN118" s="31"/>
      <c r="FO118" s="31"/>
      <c r="FP118" s="31"/>
      <c r="FQ118" s="31"/>
      <c r="FR118" s="31"/>
      <c r="FS118" s="31"/>
      <c r="FT118" s="31"/>
      <c r="FU118" s="31"/>
      <c r="FV118" s="31"/>
      <c r="FW118" s="31"/>
      <c r="FX118" s="31"/>
      <c r="FY118" s="31"/>
      <c r="FZ118" s="31"/>
      <c r="GA118" s="31"/>
      <c r="GB118" s="31"/>
      <c r="GC118" s="31"/>
      <c r="GD118" s="31"/>
      <c r="GE118" s="31"/>
      <c r="GF118" s="31"/>
      <c r="GG118" s="31"/>
      <c r="GH118" s="31"/>
      <c r="GI118" s="31"/>
      <c r="GJ118" s="31"/>
      <c r="GK118" s="31"/>
      <c r="GL118" s="31"/>
      <c r="GM118" s="31"/>
      <c r="GN118" s="31"/>
      <c r="GO118" s="31"/>
      <c r="GP118" s="31"/>
      <c r="GQ118" s="31"/>
      <c r="GR118" s="31"/>
      <c r="GS118" s="31"/>
      <c r="GT118" s="31"/>
      <c r="GU118" s="31"/>
      <c r="GV118" s="31"/>
      <c r="GW118" s="31"/>
      <c r="GX118" s="31"/>
      <c r="GY118" s="31"/>
      <c r="GZ118" s="31"/>
      <c r="HA118" s="31"/>
      <c r="HB118" s="31"/>
      <c r="HC118" s="31"/>
      <c r="HD118" s="31"/>
      <c r="HE118" s="31"/>
      <c r="HF118" s="31"/>
      <c r="HG118" s="31"/>
      <c r="HH118" s="31"/>
      <c r="HI118" s="31"/>
      <c r="HJ118" s="31"/>
      <c r="HK118" s="31"/>
      <c r="HL118" s="31"/>
      <c r="HM118" s="31"/>
      <c r="HN118" s="31"/>
      <c r="HO118" s="31"/>
      <c r="HP118" s="31"/>
      <c r="HQ118" s="31"/>
      <c r="HR118" s="31"/>
      <c r="HS118" s="31"/>
      <c r="HT118" s="31"/>
      <c r="HU118" s="31"/>
      <c r="HV118" s="31"/>
      <c r="HW118" s="31"/>
      <c r="HX118" s="31"/>
      <c r="HY118" s="31"/>
      <c r="HZ118" s="31"/>
      <c r="IA118" s="31"/>
      <c r="IB118" s="31"/>
      <c r="IC118" s="31"/>
      <c r="ID118" s="31"/>
      <c r="IE118" s="31"/>
      <c r="IF118" s="31"/>
      <c r="IG118" s="31"/>
      <c r="IH118" s="31"/>
      <c r="II118" s="31"/>
      <c r="IJ118" s="31"/>
      <c r="IK118" s="31"/>
      <c r="IL118" s="31"/>
      <c r="IM118" s="31"/>
      <c r="IN118" s="31"/>
      <c r="IO118" s="31"/>
      <c r="IP118" s="31"/>
      <c r="IQ118" s="31"/>
      <c r="IR118" s="31"/>
      <c r="IS118" s="31"/>
      <c r="IT118" s="31"/>
      <c r="IU118" s="31"/>
      <c r="IV118" s="31"/>
      <c r="IW118" s="31"/>
      <c r="IX118" s="31"/>
      <c r="IY118" s="31"/>
      <c r="IZ118" s="31"/>
      <c r="JA118" s="31"/>
      <c r="JB118" s="31"/>
      <c r="JC118" s="31"/>
      <c r="JD118" s="31"/>
      <c r="JE118" s="31"/>
      <c r="JF118" s="31"/>
      <c r="JG118" s="31"/>
      <c r="JH118" s="31"/>
      <c r="JI118" s="31"/>
      <c r="JJ118" s="31"/>
      <c r="JK118" s="31"/>
      <c r="JL118" s="31"/>
      <c r="JM118" s="31"/>
      <c r="JN118" s="31"/>
      <c r="JO118" s="31"/>
      <c r="JP118" s="31"/>
      <c r="JQ118" s="31"/>
      <c r="JR118" s="31"/>
      <c r="JS118" s="31"/>
      <c r="JT118" s="31"/>
      <c r="JU118" s="31"/>
      <c r="JV118" s="31"/>
      <c r="JW118" s="31"/>
      <c r="JX118" s="31"/>
      <c r="JY118" s="31"/>
      <c r="JZ118" s="31"/>
      <c r="KA118" s="31"/>
      <c r="KB118" s="31"/>
      <c r="KC118" s="31"/>
      <c r="KD118" s="31"/>
      <c r="KE118" s="31"/>
      <c r="KF118" s="31"/>
      <c r="KG118" s="31"/>
      <c r="KH118" s="31"/>
      <c r="KI118" s="31"/>
      <c r="KJ118" s="31"/>
      <c r="KK118" s="31"/>
      <c r="KL118" s="31"/>
      <c r="KM118" s="31"/>
      <c r="KN118" s="31"/>
      <c r="KO118" s="31"/>
      <c r="KP118" s="31"/>
      <c r="KQ118" s="31"/>
      <c r="KR118" s="31"/>
      <c r="KS118" s="31"/>
      <c r="KT118" s="31"/>
      <c r="KU118" s="31"/>
      <c r="KV118" s="31"/>
      <c r="KW118" s="31"/>
      <c r="KX118" s="31"/>
      <c r="KY118" s="31"/>
      <c r="KZ118" s="31"/>
      <c r="LA118" s="31"/>
      <c r="LB118" s="31"/>
      <c r="LC118" s="31"/>
      <c r="LD118" s="31"/>
      <c r="LE118" s="31"/>
      <c r="LF118" s="31"/>
      <c r="LG118" s="31"/>
      <c r="LH118" s="31"/>
      <c r="LI118" s="31"/>
      <c r="LJ118" s="31"/>
      <c r="LK118" s="31"/>
      <c r="LL118" s="31"/>
      <c r="LM118" s="31"/>
      <c r="LN118" s="31"/>
      <c r="LO118" s="31"/>
      <c r="LP118" s="31"/>
      <c r="LQ118" s="31"/>
      <c r="LR118" s="31"/>
      <c r="LS118" s="31"/>
      <c r="LT118" s="31"/>
      <c r="LU118" s="31"/>
      <c r="LV118" s="31"/>
      <c r="LW118" s="31"/>
      <c r="LX118" s="31"/>
      <c r="LY118" s="31"/>
      <c r="LZ118" s="31"/>
      <c r="MA118" s="31"/>
      <c r="MB118" s="31"/>
      <c r="MC118" s="31"/>
      <c r="MD118" s="31"/>
      <c r="ME118" s="31"/>
      <c r="MF118" s="31"/>
    </row>
    <row r="119" spans="2:344" ht="39.75" customHeight="1">
      <c r="B119" s="194" t="str">
        <f>'OKR '!D200</f>
        <v xml:space="preserve">Criar cultura de uso contínuo da informação para tomada de decisões </v>
      </c>
      <c r="C119" s="195" t="str">
        <f>'OKR '!E200</f>
        <v>Comitê de Governança</v>
      </c>
      <c r="D119" s="19"/>
      <c r="E119" s="196">
        <f>'OKR '!G200</f>
        <v>46266</v>
      </c>
      <c r="F119" s="196">
        <f>'OKR '!H200</f>
        <v>46387</v>
      </c>
      <c r="G119" s="14"/>
      <c r="H119" s="14"/>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c r="EG119" s="31"/>
      <c r="EH119" s="31"/>
      <c r="EI119" s="31"/>
      <c r="EJ119" s="31"/>
      <c r="EK119" s="31"/>
      <c r="EL119" s="31"/>
      <c r="EM119" s="31"/>
      <c r="EN119" s="31"/>
      <c r="EO119" s="31"/>
      <c r="EP119" s="31"/>
      <c r="EQ119" s="31"/>
      <c r="ER119" s="31"/>
      <c r="ES119" s="31"/>
      <c r="ET119" s="31"/>
      <c r="EU119" s="31"/>
      <c r="EV119" s="31"/>
      <c r="EW119" s="31"/>
      <c r="EX119" s="31"/>
      <c r="EY119" s="31"/>
      <c r="EZ119" s="31"/>
      <c r="FA119" s="31"/>
      <c r="FB119" s="31"/>
      <c r="FC119" s="31"/>
      <c r="FD119" s="31"/>
      <c r="FE119" s="31"/>
      <c r="FF119" s="31"/>
      <c r="FG119" s="31"/>
      <c r="FH119" s="31"/>
      <c r="FI119" s="31"/>
      <c r="FJ119" s="31"/>
      <c r="FK119" s="31"/>
      <c r="FL119" s="31"/>
      <c r="FM119" s="31"/>
      <c r="FN119" s="31"/>
      <c r="FO119" s="31"/>
      <c r="FP119" s="31"/>
      <c r="FQ119" s="31"/>
      <c r="FR119" s="31"/>
      <c r="FS119" s="31"/>
      <c r="FT119" s="31"/>
      <c r="FU119" s="31"/>
      <c r="FV119" s="31"/>
      <c r="FW119" s="31"/>
      <c r="FX119" s="31"/>
      <c r="FY119" s="31"/>
      <c r="FZ119" s="31"/>
      <c r="GA119" s="31"/>
      <c r="GB119" s="31"/>
      <c r="GC119" s="31"/>
      <c r="GD119" s="31"/>
      <c r="GE119" s="31"/>
      <c r="GF119" s="31"/>
      <c r="GG119" s="31"/>
      <c r="GH119" s="31"/>
      <c r="GI119" s="31"/>
      <c r="GJ119" s="31"/>
      <c r="GK119" s="31"/>
      <c r="GL119" s="31"/>
      <c r="GM119" s="31"/>
      <c r="GN119" s="31"/>
      <c r="GO119" s="31"/>
      <c r="GP119" s="31"/>
      <c r="GQ119" s="31"/>
      <c r="GR119" s="31"/>
      <c r="GS119" s="31"/>
      <c r="GT119" s="31"/>
      <c r="GU119" s="31"/>
      <c r="GV119" s="31"/>
      <c r="GW119" s="31"/>
      <c r="GX119" s="31"/>
      <c r="GY119" s="31"/>
      <c r="GZ119" s="31"/>
      <c r="HA119" s="31"/>
      <c r="HB119" s="31"/>
      <c r="HC119" s="31"/>
      <c r="HD119" s="31"/>
      <c r="HE119" s="31"/>
      <c r="HF119" s="31"/>
      <c r="HG119" s="31"/>
      <c r="HH119" s="31"/>
      <c r="HI119" s="31"/>
      <c r="HJ119" s="31"/>
      <c r="HK119" s="31"/>
      <c r="HL119" s="31"/>
      <c r="HM119" s="31"/>
      <c r="HN119" s="31"/>
      <c r="HO119" s="31"/>
      <c r="HP119" s="31"/>
      <c r="HQ119" s="31"/>
      <c r="HR119" s="31"/>
      <c r="HS119" s="31"/>
      <c r="HT119" s="31"/>
      <c r="HU119" s="31"/>
      <c r="HV119" s="31"/>
      <c r="HW119" s="31"/>
      <c r="HX119" s="31"/>
      <c r="HY119" s="31"/>
      <c r="HZ119" s="31"/>
      <c r="IA119" s="31"/>
      <c r="IB119" s="31"/>
      <c r="IC119" s="31"/>
      <c r="ID119" s="31"/>
      <c r="IE119" s="31"/>
      <c r="IF119" s="31"/>
      <c r="IG119" s="31"/>
      <c r="IH119" s="31"/>
      <c r="II119" s="31"/>
      <c r="IJ119" s="31"/>
      <c r="IK119" s="31"/>
      <c r="IL119" s="31"/>
      <c r="IM119" s="31"/>
      <c r="IN119" s="31"/>
      <c r="IO119" s="31"/>
      <c r="IP119" s="31"/>
      <c r="IQ119" s="31"/>
      <c r="IR119" s="31"/>
      <c r="IS119" s="31"/>
      <c r="IT119" s="31"/>
      <c r="IU119" s="31"/>
      <c r="IV119" s="31"/>
      <c r="IW119" s="31"/>
      <c r="IX119" s="31"/>
      <c r="IY119" s="31"/>
      <c r="IZ119" s="31"/>
      <c r="JA119" s="31"/>
      <c r="JB119" s="31"/>
      <c r="JC119" s="31"/>
      <c r="JD119" s="31"/>
      <c r="JE119" s="31"/>
      <c r="JF119" s="31"/>
      <c r="JG119" s="31"/>
      <c r="JH119" s="31"/>
      <c r="JI119" s="31"/>
      <c r="JJ119" s="31"/>
      <c r="JK119" s="31"/>
      <c r="JL119" s="31"/>
      <c r="JM119" s="31"/>
      <c r="JN119" s="31"/>
      <c r="JO119" s="31"/>
      <c r="JP119" s="31"/>
      <c r="JQ119" s="31"/>
      <c r="JR119" s="31"/>
      <c r="JS119" s="31"/>
      <c r="JT119" s="31"/>
      <c r="JU119" s="31"/>
      <c r="JV119" s="31"/>
      <c r="JW119" s="31"/>
      <c r="JX119" s="31"/>
      <c r="JY119" s="31"/>
      <c r="JZ119" s="31"/>
      <c r="KA119" s="31"/>
      <c r="KB119" s="31"/>
      <c r="KC119" s="31"/>
      <c r="KD119" s="31"/>
      <c r="KE119" s="31"/>
      <c r="KF119" s="31"/>
      <c r="KG119" s="31"/>
      <c r="KH119" s="31"/>
      <c r="KI119" s="31"/>
      <c r="KJ119" s="31"/>
      <c r="KK119" s="31"/>
      <c r="KL119" s="31"/>
      <c r="KM119" s="31"/>
      <c r="KN119" s="31"/>
      <c r="KO119" s="31"/>
      <c r="KP119" s="31"/>
      <c r="KQ119" s="31"/>
      <c r="KR119" s="31"/>
      <c r="KS119" s="31"/>
      <c r="KT119" s="31"/>
      <c r="KU119" s="31"/>
      <c r="KV119" s="31"/>
      <c r="KW119" s="31"/>
      <c r="KX119" s="31"/>
      <c r="KY119" s="31"/>
      <c r="KZ119" s="31"/>
      <c r="LA119" s="31"/>
      <c r="LB119" s="31"/>
      <c r="LC119" s="31"/>
      <c r="LD119" s="31"/>
      <c r="LE119" s="31"/>
      <c r="LF119" s="31"/>
      <c r="LG119" s="31"/>
      <c r="LH119" s="31"/>
      <c r="LI119" s="31"/>
      <c r="LJ119" s="31"/>
      <c r="LK119" s="31"/>
      <c r="LL119" s="31"/>
      <c r="LM119" s="31"/>
      <c r="LN119" s="31"/>
      <c r="LO119" s="31"/>
      <c r="LP119" s="31"/>
      <c r="LQ119" s="31"/>
      <c r="LR119" s="31"/>
      <c r="LS119" s="31"/>
      <c r="LT119" s="31"/>
      <c r="LU119" s="31"/>
      <c r="LV119" s="31"/>
      <c r="LW119" s="31"/>
      <c r="LX119" s="31"/>
      <c r="LY119" s="31"/>
      <c r="LZ119" s="31"/>
      <c r="MA119" s="31"/>
      <c r="MB119" s="31"/>
      <c r="MC119" s="31"/>
      <c r="MD119" s="31"/>
      <c r="ME119" s="31"/>
      <c r="MF119" s="31"/>
    </row>
    <row r="120" spans="2:344" ht="36" hidden="1" customHeight="1">
      <c r="B120" s="89">
        <f>'OKR '!D201</f>
        <v>0</v>
      </c>
      <c r="C120" s="135">
        <f>'OKR '!E201</f>
        <v>0</v>
      </c>
      <c r="D120" s="90"/>
      <c r="E120" s="78">
        <f>'OKR '!G201</f>
        <v>0</v>
      </c>
      <c r="F120" s="78">
        <f>'OKR '!H201</f>
        <v>0</v>
      </c>
      <c r="G120" s="14"/>
      <c r="H120" s="14">
        <f t="shared" ca="1" si="332"/>
        <v>1</v>
      </c>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row>
    <row r="121" spans="2:344" ht="30" customHeight="1"/>
    <row r="122" spans="2:344" ht="30" hidden="1" customHeight="1"/>
    <row r="123" spans="2:344" ht="30" hidden="1" customHeight="1"/>
    <row r="124" spans="2:344" ht="30" hidden="1" customHeight="1"/>
    <row r="125" spans="2:344" ht="30" hidden="1" customHeight="1"/>
    <row r="126" spans="2:344" ht="30" hidden="1" customHeight="1"/>
  </sheetData>
  <mergeCells count="61">
    <mergeCell ref="B82:F82"/>
    <mergeCell ref="B96:F96"/>
    <mergeCell ref="B110:F110"/>
    <mergeCell ref="B34:F34"/>
    <mergeCell ref="B48:F48"/>
    <mergeCell ref="B58:F58"/>
    <mergeCell ref="B69:F69"/>
    <mergeCell ref="P4:V4"/>
    <mergeCell ref="BF4:BL4"/>
    <mergeCell ref="B8:F8"/>
    <mergeCell ref="W4:AC4"/>
    <mergeCell ref="B21:F21"/>
    <mergeCell ref="AD4:AJ4"/>
    <mergeCell ref="AK4:AQ4"/>
    <mergeCell ref="AR4:AX4"/>
    <mergeCell ref="AY4:BE4"/>
    <mergeCell ref="B1:C1"/>
    <mergeCell ref="C3:D3"/>
    <mergeCell ref="E3:F3"/>
    <mergeCell ref="C4:D4"/>
    <mergeCell ref="I4:O4"/>
    <mergeCell ref="BM4:BS4"/>
    <mergeCell ref="BT4:BZ4"/>
    <mergeCell ref="CA4:CG4"/>
    <mergeCell ref="CH4:CN4"/>
    <mergeCell ref="CO4:CU4"/>
    <mergeCell ref="CV4:DB4"/>
    <mergeCell ref="DC4:DI4"/>
    <mergeCell ref="DJ4:DP4"/>
    <mergeCell ref="DQ4:DW4"/>
    <mergeCell ref="DX4:ED4"/>
    <mergeCell ref="EE4:EK4"/>
    <mergeCell ref="EL4:ER4"/>
    <mergeCell ref="ES4:EY4"/>
    <mergeCell ref="EZ4:FF4"/>
    <mergeCell ref="FG4:FM4"/>
    <mergeCell ref="FN4:FT4"/>
    <mergeCell ref="FU4:GA4"/>
    <mergeCell ref="GB4:GH4"/>
    <mergeCell ref="GI4:GO4"/>
    <mergeCell ref="GP4:GV4"/>
    <mergeCell ref="GW4:HC4"/>
    <mergeCell ref="HD4:HJ4"/>
    <mergeCell ref="HK4:HQ4"/>
    <mergeCell ref="HR4:HX4"/>
    <mergeCell ref="HY4:IE4"/>
    <mergeCell ref="IF4:IL4"/>
    <mergeCell ref="IM4:IS4"/>
    <mergeCell ref="IT4:IZ4"/>
    <mergeCell ref="JA4:JG4"/>
    <mergeCell ref="JH4:JN4"/>
    <mergeCell ref="JO4:JU4"/>
    <mergeCell ref="JV4:KB4"/>
    <mergeCell ref="KC4:KI4"/>
    <mergeCell ref="KJ4:KP4"/>
    <mergeCell ref="KQ4:KW4"/>
    <mergeCell ref="KX4:LD4"/>
    <mergeCell ref="LE4:LK4"/>
    <mergeCell ref="LL4:LR4"/>
    <mergeCell ref="LS4:LY4"/>
    <mergeCell ref="LZ4:MF4"/>
  </mergeCells>
  <conditionalFormatting sqref="D47 D7 D81 D9:D20 D59:D68 D111:D120 D97:D109 D49:D57 D70:D79 D83:D95 D35:D45 D22:D33">
    <cfRule type="dataBar" priority="4">
      <dataBar>
        <cfvo type="num" val="0"/>
        <cfvo type="num" val="1"/>
        <color theme="0" tint="-0.249977111117893"/>
      </dataBar>
      <extLst>
        <ext xmlns:x14="http://schemas.microsoft.com/office/spreadsheetml/2009/9/main" uri="{B025F937-C7B1-47D3-B67F-A62EFF666E3E}">
          <x14:id>{182485B9-2DC4-4BB7-8A0F-CC74CA1479FB}</x14:id>
        </ext>
      </extLst>
    </cfRule>
  </conditionalFormatting>
  <conditionalFormatting sqref="I5:BL111 BM5:MF6 BM8:MF111">
    <cfRule type="expression" dxfId="11" priority="7">
      <formula>AND(TODAY()&gt;=I$5,TODAY()&lt;J$5)</formula>
    </cfRule>
  </conditionalFormatting>
  <conditionalFormatting sqref="I7:BL45 BM8:MF45 I47:MF79">
    <cfRule type="expression" dxfId="10" priority="5">
      <formula>AND(início_da_tarefa&lt;=I$5,ROUNDDOWN((término_da_tarefa-início_da_tarefa+1)*progresso_da_tarefa,0)+início_da_tarefa-1&gt;=I$5)</formula>
    </cfRule>
    <cfRule type="expression" dxfId="9" priority="6" stopIfTrue="1">
      <formula>AND(término_da_tarefa&gt;=I$5,início_da_tarefa&lt;J$5)</formula>
    </cfRule>
  </conditionalFormatting>
  <conditionalFormatting sqref="I81:BL120 BM81:MF119">
    <cfRule type="expression" dxfId="8" priority="1">
      <formula>AND(início_da_tarefa&lt;=I$5,ROUNDDOWN((término_da_tarefa-início_da_tarefa+1)*progresso_da_tarefa,0)+início_da_tarefa-1&gt;=I$5)</formula>
    </cfRule>
    <cfRule type="expression" dxfId="7" priority="2" stopIfTrue="1">
      <formula>AND(término_da_tarefa&gt;=I$5,início_da_tarefa&lt;J$5)</formula>
    </cfRule>
  </conditionalFormatting>
  <conditionalFormatting sqref="I112:BL120 BM112:MF119">
    <cfRule type="expression" dxfId="6" priority="3">
      <formula>AND(TODAY()&gt;=I$5,TODAY()&lt;J$5)</formula>
    </cfRule>
  </conditionalFormatting>
  <dataValidations count="1">
    <dataValidation type="whole" operator="greaterThanOrEqual" allowBlank="1" showInputMessage="1" promptTitle="Semana de exibição" prompt="Alterar esse número rola a exibição do Gráfico de Gantt." sqref="E4" xr:uid="{F29692D3-A59C-4202-BAFF-97A44340B83F}">
      <formula1>1</formula1>
    </dataValidation>
  </dataValidations>
  <hyperlinks>
    <hyperlink ref="I2" r:id="rId1" xr:uid="{E0BEA4A8-D984-4B8F-BE71-93E3BD1ABAC8}"/>
    <hyperlink ref="I1" r:id="rId2" xr:uid="{3CBA76CD-DD01-484C-97BA-AEF6F36F1011}"/>
  </hyperlinks>
  <pageMargins left="0.7" right="0.7" top="0.75" bottom="0.75" header="0.3" footer="0.3"/>
  <pageSetup paperSize="8" scale="59"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182485B9-2DC4-4BB7-8A0F-CC74CA1479FB}">
            <x14:dataBar minLength="0" maxLength="100" gradient="0">
              <x14:cfvo type="num">
                <xm:f>0</xm:f>
              </x14:cfvo>
              <x14:cfvo type="num">
                <xm:f>1</xm:f>
              </x14:cfvo>
              <x14:negativeFillColor rgb="FFFF0000"/>
              <x14:axisColor rgb="FF000000"/>
            </x14:dataBar>
          </x14:cfRule>
          <xm:sqref>D47 D7 D81 D9:D20 D59:D68 D111:D120 D97:D109 D49:D57 D70:D79 D83:D95 D35:D45 D22:D33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CD75-7DDC-400A-AC7D-531DFB10123B}">
  <sheetPr>
    <pageSetUpPr fitToPage="1"/>
  </sheetPr>
  <dimension ref="A1:BL36"/>
  <sheetViews>
    <sheetView showGridLines="0" showRuler="0" zoomScaleNormal="100" zoomScalePageLayoutView="70" workbookViewId="0">
      <pane ySplit="6" topLeftCell="A10" activePane="bottomLeft" state="frozen"/>
      <selection pane="bottomLeft" activeCell="B10" sqref="B10"/>
    </sheetView>
  </sheetViews>
  <sheetFormatPr defaultRowHeight="30" customHeight="1"/>
  <cols>
    <col min="1" max="1" width="2.7109375" style="45" customWidth="1"/>
    <col min="2" max="2" width="21.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s>
  <sheetData>
    <row r="1" spans="1:64" ht="59.25" customHeight="1">
      <c r="A1" s="46" t="s">
        <v>151</v>
      </c>
      <c r="B1" s="271" t="s">
        <v>171</v>
      </c>
      <c r="C1" s="271"/>
      <c r="D1" s="271"/>
      <c r="E1" s="271"/>
      <c r="F1" s="271"/>
      <c r="H1" s="2"/>
      <c r="I1" s="67" t="s">
        <v>152</v>
      </c>
    </row>
    <row r="2" spans="1:64" ht="30" customHeight="1">
      <c r="A2" s="45" t="s">
        <v>153</v>
      </c>
      <c r="B2" s="50" t="s">
        <v>172</v>
      </c>
      <c r="I2" s="68" t="s">
        <v>154</v>
      </c>
    </row>
    <row r="3" spans="1:64" ht="30" customHeight="1">
      <c r="A3" s="45" t="s">
        <v>155</v>
      </c>
      <c r="B3" s="51" t="s">
        <v>24</v>
      </c>
      <c r="C3" s="274" t="s">
        <v>156</v>
      </c>
      <c r="D3" s="275"/>
      <c r="E3" s="279">
        <f ca="1">TODAY()</f>
        <v>46148</v>
      </c>
      <c r="F3" s="279"/>
    </row>
    <row r="4" spans="1:64" ht="30" customHeight="1">
      <c r="A4" s="46" t="s">
        <v>157</v>
      </c>
      <c r="C4" s="274" t="s">
        <v>158</v>
      </c>
      <c r="D4" s="275"/>
      <c r="E4" s="7">
        <v>1</v>
      </c>
      <c r="I4" s="268">
        <f ca="1">I5</f>
        <v>46146</v>
      </c>
      <c r="J4" s="269"/>
      <c r="K4" s="269"/>
      <c r="L4" s="269"/>
      <c r="M4" s="269"/>
      <c r="N4" s="269"/>
      <c r="O4" s="270"/>
      <c r="P4" s="268">
        <f ca="1">P5</f>
        <v>46153</v>
      </c>
      <c r="Q4" s="269"/>
      <c r="R4" s="269"/>
      <c r="S4" s="269"/>
      <c r="T4" s="269"/>
      <c r="U4" s="269"/>
      <c r="V4" s="270"/>
      <c r="W4" s="268">
        <f ca="1">W5</f>
        <v>46160</v>
      </c>
      <c r="X4" s="269"/>
      <c r="Y4" s="269"/>
      <c r="Z4" s="269"/>
      <c r="AA4" s="269"/>
      <c r="AB4" s="269"/>
      <c r="AC4" s="270"/>
      <c r="AD4" s="268">
        <f ca="1">AD5</f>
        <v>46167</v>
      </c>
      <c r="AE4" s="269"/>
      <c r="AF4" s="269"/>
      <c r="AG4" s="269"/>
      <c r="AH4" s="269"/>
      <c r="AI4" s="269"/>
      <c r="AJ4" s="270"/>
      <c r="AK4" s="268">
        <f ca="1">AK5</f>
        <v>46174</v>
      </c>
      <c r="AL4" s="269"/>
      <c r="AM4" s="269"/>
      <c r="AN4" s="269"/>
      <c r="AO4" s="269"/>
      <c r="AP4" s="269"/>
      <c r="AQ4" s="270"/>
      <c r="AR4" s="268">
        <f ca="1">AR5</f>
        <v>46181</v>
      </c>
      <c r="AS4" s="269"/>
      <c r="AT4" s="269"/>
      <c r="AU4" s="269"/>
      <c r="AV4" s="269"/>
      <c r="AW4" s="269"/>
      <c r="AX4" s="270"/>
      <c r="AY4" s="268">
        <f ca="1">AY5</f>
        <v>46188</v>
      </c>
      <c r="AZ4" s="269"/>
      <c r="BA4" s="269"/>
      <c r="BB4" s="269"/>
      <c r="BC4" s="269"/>
      <c r="BD4" s="269"/>
      <c r="BE4" s="270"/>
      <c r="BF4" s="268">
        <f ca="1">BF5</f>
        <v>46195</v>
      </c>
      <c r="BG4" s="269"/>
      <c r="BH4" s="269"/>
      <c r="BI4" s="269"/>
      <c r="BJ4" s="269"/>
      <c r="BK4" s="269"/>
      <c r="BL4" s="270"/>
    </row>
    <row r="5" spans="1:64" ht="15" customHeight="1">
      <c r="A5" s="46" t="s">
        <v>159</v>
      </c>
      <c r="B5" s="66"/>
      <c r="C5" s="66"/>
      <c r="D5" s="66"/>
      <c r="E5" s="66"/>
      <c r="F5" s="66"/>
      <c r="G5" s="66"/>
      <c r="I5" s="85">
        <f ca="1">Início_do_projeto-WEEKDAY(Início_do_projeto,1)+2+7*(Semana_de_exibição-1)</f>
        <v>46146</v>
      </c>
      <c r="J5" s="86">
        <f ca="1">I5+1</f>
        <v>46147</v>
      </c>
      <c r="K5" s="86">
        <f t="shared" ref="K5:AX5" ca="1" si="0">J5+1</f>
        <v>46148</v>
      </c>
      <c r="L5" s="86">
        <f t="shared" ca="1" si="0"/>
        <v>46149</v>
      </c>
      <c r="M5" s="86">
        <f t="shared" ca="1" si="0"/>
        <v>46150</v>
      </c>
      <c r="N5" s="86">
        <f t="shared" ca="1" si="0"/>
        <v>46151</v>
      </c>
      <c r="O5" s="87">
        <f t="shared" ca="1" si="0"/>
        <v>46152</v>
      </c>
      <c r="P5" s="85">
        <f ca="1">O5+1</f>
        <v>46153</v>
      </c>
      <c r="Q5" s="86">
        <f ca="1">P5+1</f>
        <v>46154</v>
      </c>
      <c r="R5" s="86">
        <f t="shared" ca="1" si="0"/>
        <v>46155</v>
      </c>
      <c r="S5" s="86">
        <f t="shared" ca="1" si="0"/>
        <v>46156</v>
      </c>
      <c r="T5" s="86">
        <f t="shared" ca="1" si="0"/>
        <v>46157</v>
      </c>
      <c r="U5" s="86">
        <f t="shared" ca="1" si="0"/>
        <v>46158</v>
      </c>
      <c r="V5" s="87">
        <f t="shared" ca="1" si="0"/>
        <v>46159</v>
      </c>
      <c r="W5" s="85">
        <f ca="1">V5+1</f>
        <v>46160</v>
      </c>
      <c r="X5" s="86">
        <f ca="1">W5+1</f>
        <v>46161</v>
      </c>
      <c r="Y5" s="86">
        <f t="shared" ca="1" si="0"/>
        <v>46162</v>
      </c>
      <c r="Z5" s="86">
        <f t="shared" ca="1" si="0"/>
        <v>46163</v>
      </c>
      <c r="AA5" s="86">
        <f t="shared" ca="1" si="0"/>
        <v>46164</v>
      </c>
      <c r="AB5" s="86">
        <f t="shared" ca="1" si="0"/>
        <v>46165</v>
      </c>
      <c r="AC5" s="87">
        <f t="shared" ca="1" si="0"/>
        <v>46166</v>
      </c>
      <c r="AD5" s="85">
        <f ca="1">AC5+1</f>
        <v>46167</v>
      </c>
      <c r="AE5" s="86">
        <f ca="1">AD5+1</f>
        <v>46168</v>
      </c>
      <c r="AF5" s="86">
        <f t="shared" ca="1" si="0"/>
        <v>46169</v>
      </c>
      <c r="AG5" s="86">
        <f t="shared" ca="1" si="0"/>
        <v>46170</v>
      </c>
      <c r="AH5" s="86">
        <f t="shared" ca="1" si="0"/>
        <v>46171</v>
      </c>
      <c r="AI5" s="86">
        <f t="shared" ca="1" si="0"/>
        <v>46172</v>
      </c>
      <c r="AJ5" s="87">
        <f t="shared" ca="1" si="0"/>
        <v>46173</v>
      </c>
      <c r="AK5" s="85">
        <f ca="1">AJ5+1</f>
        <v>46174</v>
      </c>
      <c r="AL5" s="86">
        <f ca="1">AK5+1</f>
        <v>46175</v>
      </c>
      <c r="AM5" s="86">
        <f t="shared" ca="1" si="0"/>
        <v>46176</v>
      </c>
      <c r="AN5" s="86">
        <f t="shared" ca="1" si="0"/>
        <v>46177</v>
      </c>
      <c r="AO5" s="86">
        <f t="shared" ca="1" si="0"/>
        <v>46178</v>
      </c>
      <c r="AP5" s="86">
        <f t="shared" ca="1" si="0"/>
        <v>46179</v>
      </c>
      <c r="AQ5" s="87">
        <f t="shared" ca="1" si="0"/>
        <v>46180</v>
      </c>
      <c r="AR5" s="85">
        <f ca="1">AQ5+1</f>
        <v>46181</v>
      </c>
      <c r="AS5" s="86">
        <f ca="1">AR5+1</f>
        <v>46182</v>
      </c>
      <c r="AT5" s="86">
        <f t="shared" ca="1" si="0"/>
        <v>46183</v>
      </c>
      <c r="AU5" s="86">
        <f t="shared" ca="1" si="0"/>
        <v>46184</v>
      </c>
      <c r="AV5" s="86">
        <f t="shared" ca="1" si="0"/>
        <v>46185</v>
      </c>
      <c r="AW5" s="86">
        <f t="shared" ca="1" si="0"/>
        <v>46186</v>
      </c>
      <c r="AX5" s="87">
        <f t="shared" ca="1" si="0"/>
        <v>46187</v>
      </c>
      <c r="AY5" s="85">
        <f ca="1">AX5+1</f>
        <v>46188</v>
      </c>
      <c r="AZ5" s="86">
        <f ca="1">AY5+1</f>
        <v>46189</v>
      </c>
      <c r="BA5" s="86">
        <f t="shared" ref="BA5:BE5" ca="1" si="1">AZ5+1</f>
        <v>46190</v>
      </c>
      <c r="BB5" s="86">
        <f t="shared" ca="1" si="1"/>
        <v>46191</v>
      </c>
      <c r="BC5" s="86">
        <f t="shared" ca="1" si="1"/>
        <v>46192</v>
      </c>
      <c r="BD5" s="86">
        <f t="shared" ca="1" si="1"/>
        <v>46193</v>
      </c>
      <c r="BE5" s="87">
        <f t="shared" ca="1" si="1"/>
        <v>46194</v>
      </c>
      <c r="BF5" s="85">
        <f ca="1">BE5+1</f>
        <v>46195</v>
      </c>
      <c r="BG5" s="86">
        <f ca="1">BF5+1</f>
        <v>46196</v>
      </c>
      <c r="BH5" s="86">
        <f t="shared" ref="BH5:BL5" ca="1" si="2">BG5+1</f>
        <v>46197</v>
      </c>
      <c r="BI5" s="86">
        <f t="shared" ca="1" si="2"/>
        <v>46198</v>
      </c>
      <c r="BJ5" s="86">
        <f t="shared" ca="1" si="2"/>
        <v>46199</v>
      </c>
      <c r="BK5" s="86">
        <f t="shared" ca="1" si="2"/>
        <v>46200</v>
      </c>
      <c r="BL5" s="87">
        <f t="shared" ca="1" si="2"/>
        <v>46201</v>
      </c>
    </row>
    <row r="6" spans="1:64" ht="30" customHeight="1">
      <c r="A6" s="46" t="s">
        <v>160</v>
      </c>
      <c r="B6" s="8" t="s">
        <v>173</v>
      </c>
      <c r="C6" s="9" t="s">
        <v>13</v>
      </c>
      <c r="D6" s="9" t="s">
        <v>161</v>
      </c>
      <c r="E6" s="9" t="s">
        <v>162</v>
      </c>
      <c r="F6" s="9" t="s">
        <v>163</v>
      </c>
      <c r="G6" s="9"/>
      <c r="H6" s="9" t="s">
        <v>164</v>
      </c>
      <c r="I6" s="10" t="str">
        <f t="shared" ref="I6:BL6" ca="1" si="3">LEFT(TEXT(I5,"ddd"),1)</f>
        <v>s</v>
      </c>
      <c r="J6" s="10" t="str">
        <f t="shared" ca="1" si="3"/>
        <v>t</v>
      </c>
      <c r="K6" s="10" t="str">
        <f t="shared" ca="1" si="3"/>
        <v>q</v>
      </c>
      <c r="L6" s="10" t="str">
        <f t="shared" ca="1" si="3"/>
        <v>q</v>
      </c>
      <c r="M6" s="10" t="str">
        <f t="shared" ca="1" si="3"/>
        <v>s</v>
      </c>
      <c r="N6" s="10" t="str">
        <f t="shared" ca="1" si="3"/>
        <v>s</v>
      </c>
      <c r="O6" s="10" t="str">
        <f t="shared" ca="1" si="3"/>
        <v>d</v>
      </c>
      <c r="P6" s="10" t="str">
        <f t="shared" ca="1" si="3"/>
        <v>s</v>
      </c>
      <c r="Q6" s="10" t="str">
        <f t="shared" ca="1" si="3"/>
        <v>t</v>
      </c>
      <c r="R6" s="10" t="str">
        <f t="shared" ca="1" si="3"/>
        <v>q</v>
      </c>
      <c r="S6" s="10" t="str">
        <f t="shared" ca="1" si="3"/>
        <v>q</v>
      </c>
      <c r="T6" s="10" t="str">
        <f t="shared" ca="1" si="3"/>
        <v>s</v>
      </c>
      <c r="U6" s="10" t="str">
        <f t="shared" ca="1" si="3"/>
        <v>s</v>
      </c>
      <c r="V6" s="10" t="str">
        <f t="shared" ca="1" si="3"/>
        <v>d</v>
      </c>
      <c r="W6" s="10" t="str">
        <f t="shared" ca="1" si="3"/>
        <v>s</v>
      </c>
      <c r="X6" s="10" t="str">
        <f t="shared" ca="1" si="3"/>
        <v>t</v>
      </c>
      <c r="Y6" s="10" t="str">
        <f t="shared" ca="1" si="3"/>
        <v>q</v>
      </c>
      <c r="Z6" s="10" t="str">
        <f t="shared" ca="1" si="3"/>
        <v>q</v>
      </c>
      <c r="AA6" s="10" t="str">
        <f t="shared" ca="1" si="3"/>
        <v>s</v>
      </c>
      <c r="AB6" s="10" t="str">
        <f t="shared" ca="1" si="3"/>
        <v>s</v>
      </c>
      <c r="AC6" s="10" t="str">
        <f t="shared" ca="1" si="3"/>
        <v>d</v>
      </c>
      <c r="AD6" s="10" t="str">
        <f t="shared" ca="1" si="3"/>
        <v>s</v>
      </c>
      <c r="AE6" s="10" t="str">
        <f t="shared" ca="1" si="3"/>
        <v>t</v>
      </c>
      <c r="AF6" s="10" t="str">
        <f t="shared" ca="1" si="3"/>
        <v>q</v>
      </c>
      <c r="AG6" s="10" t="str">
        <f t="shared" ca="1" si="3"/>
        <v>q</v>
      </c>
      <c r="AH6" s="10" t="str">
        <f t="shared" ca="1" si="3"/>
        <v>s</v>
      </c>
      <c r="AI6" s="10" t="str">
        <f t="shared" ca="1" si="3"/>
        <v>s</v>
      </c>
      <c r="AJ6" s="10" t="str">
        <f t="shared" ca="1" si="3"/>
        <v>d</v>
      </c>
      <c r="AK6" s="10" t="str">
        <f t="shared" ca="1" si="3"/>
        <v>s</v>
      </c>
      <c r="AL6" s="10" t="str">
        <f t="shared" ca="1" si="3"/>
        <v>t</v>
      </c>
      <c r="AM6" s="10" t="str">
        <f t="shared" ca="1" si="3"/>
        <v>q</v>
      </c>
      <c r="AN6" s="10" t="str">
        <f t="shared" ca="1" si="3"/>
        <v>q</v>
      </c>
      <c r="AO6" s="10" t="str">
        <f t="shared" ca="1" si="3"/>
        <v>s</v>
      </c>
      <c r="AP6" s="10" t="str">
        <f t="shared" ca="1" si="3"/>
        <v>s</v>
      </c>
      <c r="AQ6" s="10" t="str">
        <f t="shared" ca="1" si="3"/>
        <v>d</v>
      </c>
      <c r="AR6" s="10" t="str">
        <f t="shared" ca="1" si="3"/>
        <v>s</v>
      </c>
      <c r="AS6" s="10" t="str">
        <f t="shared" ca="1" si="3"/>
        <v>t</v>
      </c>
      <c r="AT6" s="10" t="str">
        <f t="shared" ca="1" si="3"/>
        <v>q</v>
      </c>
      <c r="AU6" s="10" t="str">
        <f t="shared" ca="1" si="3"/>
        <v>q</v>
      </c>
      <c r="AV6" s="10" t="str">
        <f t="shared" ca="1" si="3"/>
        <v>s</v>
      </c>
      <c r="AW6" s="10" t="str">
        <f t="shared" ca="1" si="3"/>
        <v>s</v>
      </c>
      <c r="AX6" s="10" t="str">
        <f t="shared" ca="1" si="3"/>
        <v>d</v>
      </c>
      <c r="AY6" s="10" t="str">
        <f t="shared" ca="1" si="3"/>
        <v>s</v>
      </c>
      <c r="AZ6" s="10" t="str">
        <f t="shared" ca="1" si="3"/>
        <v>t</v>
      </c>
      <c r="BA6" s="10" t="str">
        <f t="shared" ca="1" si="3"/>
        <v>q</v>
      </c>
      <c r="BB6" s="10" t="str">
        <f t="shared" ca="1" si="3"/>
        <v>q</v>
      </c>
      <c r="BC6" s="10" t="str">
        <f t="shared" ca="1" si="3"/>
        <v>s</v>
      </c>
      <c r="BD6" s="10" t="str">
        <f t="shared" ca="1" si="3"/>
        <v>s</v>
      </c>
      <c r="BE6" s="10" t="str">
        <f t="shared" ca="1" si="3"/>
        <v>d</v>
      </c>
      <c r="BF6" s="10" t="str">
        <f t="shared" ca="1" si="3"/>
        <v>s</v>
      </c>
      <c r="BG6" s="10" t="str">
        <f t="shared" ca="1" si="3"/>
        <v>t</v>
      </c>
      <c r="BH6" s="10" t="str">
        <f t="shared" ca="1" si="3"/>
        <v>q</v>
      </c>
      <c r="BI6" s="10" t="str">
        <f t="shared" ca="1" si="3"/>
        <v>q</v>
      </c>
      <c r="BJ6" s="10" t="str">
        <f t="shared" ca="1" si="3"/>
        <v>s</v>
      </c>
      <c r="BK6" s="10" t="str">
        <f t="shared" ca="1" si="3"/>
        <v>s</v>
      </c>
      <c r="BL6" s="10" t="str">
        <f t="shared" ca="1" si="3"/>
        <v>d</v>
      </c>
    </row>
    <row r="7" spans="1:64" ht="30" hidden="1" customHeight="1">
      <c r="A7" s="45" t="s">
        <v>165</v>
      </c>
      <c r="C7" s="48"/>
      <c r="E7"/>
      <c r="H7" t="str">
        <f ca="1">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c r="A8" s="46" t="s">
        <v>166</v>
      </c>
      <c r="B8" s="15" t="s">
        <v>174</v>
      </c>
      <c r="C8" s="52"/>
      <c r="D8" s="16"/>
      <c r="E8" s="70"/>
      <c r="F8" s="71"/>
      <c r="G8" s="14"/>
      <c r="H8" s="14" t="str">
        <f t="shared" ref="H8:H33" ca="1" si="4">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c r="A9" s="46" t="s">
        <v>167</v>
      </c>
      <c r="B9" s="61" t="s">
        <v>137</v>
      </c>
      <c r="C9" s="53" t="s">
        <v>175</v>
      </c>
      <c r="D9" s="17">
        <v>0.5</v>
      </c>
      <c r="E9" s="72">
        <f ca="1">Início_do_projeto</f>
        <v>46148</v>
      </c>
      <c r="F9" s="72">
        <f ca="1">E9+3</f>
        <v>46151</v>
      </c>
      <c r="G9" s="14"/>
      <c r="H9" s="14">
        <f t="shared" ca="1" si="4"/>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c r="A10" s="46" t="s">
        <v>168</v>
      </c>
      <c r="B10" s="61" t="s">
        <v>137</v>
      </c>
      <c r="C10" s="53"/>
      <c r="D10" s="17">
        <v>0.6</v>
      </c>
      <c r="E10" s="72">
        <f ca="1">F9</f>
        <v>46151</v>
      </c>
      <c r="F10" s="72">
        <f ca="1">E10+2</f>
        <v>46153</v>
      </c>
      <c r="G10" s="14"/>
      <c r="H10" s="14">
        <f t="shared" ca="1" si="4"/>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c r="A11" s="45"/>
      <c r="B11" s="61" t="s">
        <v>137</v>
      </c>
      <c r="C11" s="53"/>
      <c r="D11" s="17">
        <v>0.5</v>
      </c>
      <c r="E11" s="72">
        <f ca="1">F10</f>
        <v>46153</v>
      </c>
      <c r="F11" s="72">
        <f ca="1">E11+4</f>
        <v>46157</v>
      </c>
      <c r="G11" s="14"/>
      <c r="H11" s="14">
        <f t="shared" ca="1" si="4"/>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c r="A12" s="45"/>
      <c r="B12" s="61" t="s">
        <v>137</v>
      </c>
      <c r="C12" s="53"/>
      <c r="D12" s="17">
        <v>0.25</v>
      </c>
      <c r="E12" s="72">
        <f ca="1">F11</f>
        <v>46157</v>
      </c>
      <c r="F12" s="72">
        <f ca="1">E12+5</f>
        <v>46162</v>
      </c>
      <c r="G12" s="14"/>
      <c r="H12" s="14">
        <f t="shared" ca="1" si="4"/>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c r="A13" s="45"/>
      <c r="B13" s="61" t="s">
        <v>137</v>
      </c>
      <c r="C13" s="53"/>
      <c r="D13" s="17"/>
      <c r="E13" s="72">
        <f ca="1">E10+1</f>
        <v>46152</v>
      </c>
      <c r="F13" s="72">
        <f ca="1">E13+2</f>
        <v>46154</v>
      </c>
      <c r="G13" s="14"/>
      <c r="H13" s="14">
        <f t="shared" ca="1" si="4"/>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c r="A14" s="46" t="s">
        <v>169</v>
      </c>
      <c r="B14" s="18" t="s">
        <v>176</v>
      </c>
      <c r="C14" s="54"/>
      <c r="D14" s="19"/>
      <c r="E14" s="73"/>
      <c r="F14" s="74"/>
      <c r="G14" s="14"/>
      <c r="H14" s="14" t="str">
        <f t="shared" ca="1" si="4"/>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c r="A15" s="46"/>
      <c r="B15" s="62" t="s">
        <v>177</v>
      </c>
      <c r="C15" s="55"/>
      <c r="D15" s="20">
        <v>0.5</v>
      </c>
      <c r="E15" s="75">
        <f ca="1">E13+1</f>
        <v>46153</v>
      </c>
      <c r="F15" s="75">
        <f ca="1">E15+4</f>
        <v>46157</v>
      </c>
      <c r="G15" s="14"/>
      <c r="H15" s="14">
        <f t="shared" ca="1" si="4"/>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c r="A16" s="45"/>
      <c r="B16" s="62" t="s">
        <v>178</v>
      </c>
      <c r="C16" s="55"/>
      <c r="D16" s="20">
        <v>0.5</v>
      </c>
      <c r="E16" s="75">
        <f ca="1">E15+2</f>
        <v>46155</v>
      </c>
      <c r="F16" s="75">
        <f ca="1">E16+5</f>
        <v>46160</v>
      </c>
      <c r="G16" s="14"/>
      <c r="H16" s="14">
        <f t="shared" ca="1" si="4"/>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c r="A17" s="45"/>
      <c r="B17" s="62" t="s">
        <v>179</v>
      </c>
      <c r="C17" s="55"/>
      <c r="D17" s="20"/>
      <c r="E17" s="75">
        <f ca="1">F16</f>
        <v>46160</v>
      </c>
      <c r="F17" s="75">
        <f ca="1">E17+3</f>
        <v>46163</v>
      </c>
      <c r="G17" s="14"/>
      <c r="H17" s="14">
        <f t="shared" ca="1" si="4"/>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c r="A18" s="45"/>
      <c r="B18" s="62" t="s">
        <v>180</v>
      </c>
      <c r="C18" s="55"/>
      <c r="D18" s="20"/>
      <c r="E18" s="75">
        <f ca="1">E17</f>
        <v>46160</v>
      </c>
      <c r="F18" s="75">
        <f ca="1">E18+2</f>
        <v>46162</v>
      </c>
      <c r="G18" s="14"/>
      <c r="H18" s="14">
        <f t="shared" ca="1" si="4"/>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c r="A19" s="45"/>
      <c r="B19" s="62" t="s">
        <v>181</v>
      </c>
      <c r="C19" s="55"/>
      <c r="D19" s="20"/>
      <c r="E19" s="75">
        <f ca="1">E18</f>
        <v>46160</v>
      </c>
      <c r="F19" s="75">
        <f ca="1">E19+3</f>
        <v>46163</v>
      </c>
      <c r="G19" s="14"/>
      <c r="H19" s="14">
        <f t="shared" ca="1" si="4"/>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c r="A20" s="45" t="s">
        <v>170</v>
      </c>
      <c r="B20" s="21" t="s">
        <v>182</v>
      </c>
      <c r="C20" s="56"/>
      <c r="D20" s="22"/>
      <c r="E20" s="76"/>
      <c r="F20" s="77"/>
      <c r="G20" s="14"/>
      <c r="H20" s="14" t="str">
        <f t="shared" ca="1" si="4"/>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c r="A21" s="45"/>
      <c r="B21" s="63" t="s">
        <v>177</v>
      </c>
      <c r="C21" s="57"/>
      <c r="D21" s="23"/>
      <c r="E21" s="78">
        <f ca="1">E9+15</f>
        <v>46163</v>
      </c>
      <c r="F21" s="78">
        <f ca="1">E21+5</f>
        <v>46168</v>
      </c>
      <c r="G21" s="14"/>
      <c r="H21" s="14">
        <f t="shared" ca="1" si="4"/>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c r="A22" s="45"/>
      <c r="B22" s="63" t="s">
        <v>178</v>
      </c>
      <c r="C22" s="57"/>
      <c r="D22" s="23"/>
      <c r="E22" s="78">
        <f ca="1">F21+1</f>
        <v>46169</v>
      </c>
      <c r="F22" s="78">
        <f ca="1">E22+4</f>
        <v>46173</v>
      </c>
      <c r="G22" s="14"/>
      <c r="H22" s="14">
        <f t="shared" ca="1" si="4"/>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c r="A23" s="45"/>
      <c r="B23" s="63" t="s">
        <v>179</v>
      </c>
      <c r="C23" s="57"/>
      <c r="D23" s="23"/>
      <c r="E23" s="78">
        <f ca="1">E22+5</f>
        <v>46174</v>
      </c>
      <c r="F23" s="78">
        <f ca="1">E23+5</f>
        <v>46179</v>
      </c>
      <c r="G23" s="14"/>
      <c r="H23" s="14">
        <f t="shared" ca="1" si="4"/>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c r="A24" s="45"/>
      <c r="B24" s="63" t="s">
        <v>180</v>
      </c>
      <c r="C24" s="57"/>
      <c r="D24" s="23"/>
      <c r="E24" s="78">
        <f ca="1">F23+1</f>
        <v>46180</v>
      </c>
      <c r="F24" s="78">
        <f ca="1">E24+4</f>
        <v>46184</v>
      </c>
      <c r="G24" s="14"/>
      <c r="H24" s="14">
        <f t="shared" ca="1" si="4"/>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c r="A25" s="45"/>
      <c r="B25" s="63" t="s">
        <v>181</v>
      </c>
      <c r="C25" s="57"/>
      <c r="D25" s="23"/>
      <c r="E25" s="78">
        <f ca="1">E23</f>
        <v>46174</v>
      </c>
      <c r="F25" s="78">
        <f ca="1">E25+4</f>
        <v>46178</v>
      </c>
      <c r="G25" s="14"/>
      <c r="H25" s="14">
        <f t="shared" ca="1" si="4"/>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c r="A26" s="45" t="s">
        <v>170</v>
      </c>
      <c r="B26" s="24" t="s">
        <v>183</v>
      </c>
      <c r="C26" s="58"/>
      <c r="D26" s="25"/>
      <c r="E26" s="79"/>
      <c r="F26" s="80"/>
      <c r="G26" s="14"/>
      <c r="H26" s="14" t="str">
        <f t="shared" ca="1" si="4"/>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c r="A27" s="45"/>
      <c r="B27" s="64" t="s">
        <v>177</v>
      </c>
      <c r="C27" s="59"/>
      <c r="D27" s="26"/>
      <c r="E27" s="81" t="s">
        <v>184</v>
      </c>
      <c r="F27" s="81" t="s">
        <v>184</v>
      </c>
      <c r="G27" s="14"/>
      <c r="H27" s="14" t="e">
        <f t="shared" ca="1" si="4"/>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c r="A28" s="45"/>
      <c r="B28" s="64" t="s">
        <v>178</v>
      </c>
      <c r="C28" s="59"/>
      <c r="D28" s="26"/>
      <c r="E28" s="81" t="s">
        <v>184</v>
      </c>
      <c r="F28" s="81" t="s">
        <v>184</v>
      </c>
      <c r="G28" s="14"/>
      <c r="H28" s="14" t="e">
        <f t="shared" ca="1" si="4"/>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c r="A29" s="45"/>
      <c r="B29" s="64" t="s">
        <v>179</v>
      </c>
      <c r="C29" s="59"/>
      <c r="D29" s="26"/>
      <c r="E29" s="81" t="s">
        <v>184</v>
      </c>
      <c r="F29" s="81" t="s">
        <v>184</v>
      </c>
      <c r="G29" s="14"/>
      <c r="H29" s="14" t="e">
        <f t="shared" ca="1" si="4"/>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c r="A30" s="45"/>
      <c r="B30" s="64" t="s">
        <v>180</v>
      </c>
      <c r="C30" s="59"/>
      <c r="D30" s="26"/>
      <c r="E30" s="81" t="s">
        <v>184</v>
      </c>
      <c r="F30" s="81" t="s">
        <v>184</v>
      </c>
      <c r="G30" s="14"/>
      <c r="H30" s="14" t="e">
        <f t="shared" ca="1" si="4"/>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c r="A31" s="45"/>
      <c r="B31" s="64" t="s">
        <v>181</v>
      </c>
      <c r="C31" s="59"/>
      <c r="D31" s="26"/>
      <c r="E31" s="81" t="s">
        <v>184</v>
      </c>
      <c r="F31" s="81" t="s">
        <v>184</v>
      </c>
      <c r="G31" s="14"/>
      <c r="H31" s="14" t="e">
        <f t="shared" ca="1" si="4"/>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c r="A32" s="45" t="s">
        <v>185</v>
      </c>
      <c r="B32" s="65"/>
      <c r="C32" s="60"/>
      <c r="D32" s="13"/>
      <c r="E32" s="82"/>
      <c r="F32" s="82"/>
      <c r="G32" s="14"/>
      <c r="H32" s="14" t="str">
        <f t="shared" ca="1" si="4"/>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c r="A33" s="46" t="s">
        <v>186</v>
      </c>
      <c r="B33" s="27" t="s">
        <v>187</v>
      </c>
      <c r="C33" s="28"/>
      <c r="D33" s="29"/>
      <c r="E33" s="83"/>
      <c r="F33" s="84"/>
      <c r="G33" s="30"/>
      <c r="H33" s="30" t="str">
        <f t="shared" ca="1" si="4"/>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c r="G34" s="6"/>
    </row>
    <row r="35" spans="1:64" ht="30" customHeight="1">
      <c r="C35" s="11"/>
      <c r="F35" s="47"/>
    </row>
    <row r="36" spans="1:64" ht="30" customHeight="1">
      <c r="C36" s="12"/>
    </row>
  </sheetData>
  <mergeCells count="12">
    <mergeCell ref="W4:AC4"/>
    <mergeCell ref="B1:F1"/>
    <mergeCell ref="C3:D3"/>
    <mergeCell ref="E3:F3"/>
    <mergeCell ref="C4:D4"/>
    <mergeCell ref="I4:O4"/>
    <mergeCell ref="P4:V4"/>
    <mergeCell ref="AD4:AJ4"/>
    <mergeCell ref="AK4:AQ4"/>
    <mergeCell ref="AR4:AX4"/>
    <mergeCell ref="AY4:BE4"/>
    <mergeCell ref="BF4:BL4"/>
  </mergeCells>
  <conditionalFormatting sqref="D7:D33">
    <cfRule type="dataBar" priority="1">
      <dataBar>
        <cfvo type="num" val="0"/>
        <cfvo type="num" val="1"/>
        <color theme="0" tint="-0.249977111117893"/>
      </dataBar>
      <extLst>
        <ext xmlns:x14="http://schemas.microsoft.com/office/spreadsheetml/2009/9/main" uri="{B025F937-C7B1-47D3-B67F-A62EFF666E3E}">
          <x14:id>{B5352F6C-69BD-408A-B56A-6C0B9CABF759}</x14:id>
        </ext>
      </extLst>
    </cfRule>
  </conditionalFormatting>
  <conditionalFormatting sqref="I5:BL33">
    <cfRule type="expression" dxfId="5" priority="4">
      <formula>AND(TODAY()&gt;=I$5,TODAY()&lt;J$5)</formula>
    </cfRule>
  </conditionalFormatting>
  <conditionalFormatting sqref="I7:BL33">
    <cfRule type="expression" dxfId="4" priority="2">
      <formula>AND(início_da_tarefa&lt;=I$5,ROUNDDOWN((término_da_tarefa-início_da_tarefa+1)*progresso_da_tarefa,0)+início_da_tarefa-1&gt;=I$5)</formula>
    </cfRule>
    <cfRule type="expression" dxfId="3" priority="3"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F2B8411B-8257-45C8-8D76-6502D13EBAE9}">
      <formula1>1</formula1>
    </dataValidation>
  </dataValidations>
  <hyperlinks>
    <hyperlink ref="I2" r:id="rId1" xr:uid="{83634051-B0BC-430C-9F99-53759D0C8B4F}"/>
    <hyperlink ref="I1" r:id="rId2" xr:uid="{69809139-7E90-4DEC-87A4-FE56AD141B8D}"/>
  </hyperlinks>
  <printOptions horizontalCentered="1"/>
  <pageMargins left="0.35" right="0.35" top="0.35" bottom="0.5" header="0.3" footer="0.3"/>
  <pageSetup paperSize="9" scale="59" fitToHeight="0" orientation="landscape"/>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5352F6C-69BD-408A-B56A-6C0B9CABF759}">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showRuler="0" zoomScaleNormal="100" zoomScalePageLayoutView="70" workbookViewId="0">
      <pane ySplit="6" topLeftCell="A9" activePane="bottomLeft" state="frozen"/>
      <selection pane="bottomLeft" activeCell="F9" sqref="F9"/>
    </sheetView>
  </sheetViews>
  <sheetFormatPr defaultRowHeight="30" customHeight="1"/>
  <cols>
    <col min="1" max="1" width="2.7109375" style="45" customWidth="1"/>
    <col min="2" max="2" width="21.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c r="A1" s="46" t="s">
        <v>151</v>
      </c>
      <c r="B1" s="49" t="s">
        <v>188</v>
      </c>
      <c r="C1" s="1"/>
      <c r="D1" s="2"/>
      <c r="E1" s="4"/>
      <c r="F1" s="34"/>
      <c r="H1" s="2"/>
      <c r="I1" s="67" t="s">
        <v>152</v>
      </c>
    </row>
    <row r="2" spans="1:64" ht="30" customHeight="1">
      <c r="A2" s="45" t="s">
        <v>153</v>
      </c>
      <c r="B2" s="50" t="s">
        <v>189</v>
      </c>
      <c r="I2" s="68" t="s">
        <v>154</v>
      </c>
    </row>
    <row r="3" spans="1:64" ht="30" customHeight="1">
      <c r="A3" s="45" t="s">
        <v>155</v>
      </c>
      <c r="B3" s="51" t="s">
        <v>190</v>
      </c>
      <c r="C3" s="274" t="s">
        <v>156</v>
      </c>
      <c r="D3" s="275"/>
      <c r="E3" s="279">
        <f ca="1">TODAY()</f>
        <v>46148</v>
      </c>
      <c r="F3" s="279"/>
    </row>
    <row r="4" spans="1:64" ht="30" customHeight="1">
      <c r="A4" s="46" t="s">
        <v>157</v>
      </c>
      <c r="C4" s="274" t="s">
        <v>158</v>
      </c>
      <c r="D4" s="275"/>
      <c r="E4" s="7">
        <v>1</v>
      </c>
      <c r="I4" s="268">
        <f ca="1">I5</f>
        <v>46146</v>
      </c>
      <c r="J4" s="269"/>
      <c r="K4" s="269"/>
      <c r="L4" s="269"/>
      <c r="M4" s="269"/>
      <c r="N4" s="269"/>
      <c r="O4" s="270"/>
      <c r="P4" s="268">
        <f ca="1">P5</f>
        <v>46153</v>
      </c>
      <c r="Q4" s="269"/>
      <c r="R4" s="269"/>
      <c r="S4" s="269"/>
      <c r="T4" s="269"/>
      <c r="U4" s="269"/>
      <c r="V4" s="270"/>
      <c r="W4" s="268">
        <f ca="1">W5</f>
        <v>46160</v>
      </c>
      <c r="X4" s="269"/>
      <c r="Y4" s="269"/>
      <c r="Z4" s="269"/>
      <c r="AA4" s="269"/>
      <c r="AB4" s="269"/>
      <c r="AC4" s="270"/>
      <c r="AD4" s="268">
        <f ca="1">AD5</f>
        <v>46167</v>
      </c>
      <c r="AE4" s="269"/>
      <c r="AF4" s="269"/>
      <c r="AG4" s="269"/>
      <c r="AH4" s="269"/>
      <c r="AI4" s="269"/>
      <c r="AJ4" s="270"/>
      <c r="AK4" s="268">
        <f ca="1">AK5</f>
        <v>46174</v>
      </c>
      <c r="AL4" s="269"/>
      <c r="AM4" s="269"/>
      <c r="AN4" s="269"/>
      <c r="AO4" s="269"/>
      <c r="AP4" s="269"/>
      <c r="AQ4" s="270"/>
      <c r="AR4" s="268">
        <f ca="1">AR5</f>
        <v>46181</v>
      </c>
      <c r="AS4" s="269"/>
      <c r="AT4" s="269"/>
      <c r="AU4" s="269"/>
      <c r="AV4" s="269"/>
      <c r="AW4" s="269"/>
      <c r="AX4" s="270"/>
      <c r="AY4" s="268">
        <f ca="1">AY5</f>
        <v>46188</v>
      </c>
      <c r="AZ4" s="269"/>
      <c r="BA4" s="269"/>
      <c r="BB4" s="269"/>
      <c r="BC4" s="269"/>
      <c r="BD4" s="269"/>
      <c r="BE4" s="270"/>
      <c r="BF4" s="268">
        <f ca="1">BF5</f>
        <v>46195</v>
      </c>
      <c r="BG4" s="269"/>
      <c r="BH4" s="269"/>
      <c r="BI4" s="269"/>
      <c r="BJ4" s="269"/>
      <c r="BK4" s="269"/>
      <c r="BL4" s="270"/>
    </row>
    <row r="5" spans="1:64" ht="15" customHeight="1">
      <c r="A5" s="46" t="s">
        <v>159</v>
      </c>
      <c r="B5" s="66"/>
      <c r="C5" s="66"/>
      <c r="D5" s="66"/>
      <c r="E5" s="66"/>
      <c r="F5" s="66"/>
      <c r="G5" s="66"/>
      <c r="I5" s="85">
        <f ca="1">Início_do_projeto-WEEKDAY(Início_do_projeto,1)+2+7*(Semana_de_exibição-1)</f>
        <v>46146</v>
      </c>
      <c r="J5" s="86">
        <f ca="1">I5+1</f>
        <v>46147</v>
      </c>
      <c r="K5" s="86">
        <f t="shared" ref="K5:AX5" ca="1" si="0">J5+1</f>
        <v>46148</v>
      </c>
      <c r="L5" s="86">
        <f t="shared" ca="1" si="0"/>
        <v>46149</v>
      </c>
      <c r="M5" s="86">
        <f t="shared" ca="1" si="0"/>
        <v>46150</v>
      </c>
      <c r="N5" s="86">
        <f t="shared" ca="1" si="0"/>
        <v>46151</v>
      </c>
      <c r="O5" s="87">
        <f t="shared" ca="1" si="0"/>
        <v>46152</v>
      </c>
      <c r="P5" s="85">
        <f ca="1">O5+1</f>
        <v>46153</v>
      </c>
      <c r="Q5" s="86">
        <f ca="1">P5+1</f>
        <v>46154</v>
      </c>
      <c r="R5" s="86">
        <f t="shared" ca="1" si="0"/>
        <v>46155</v>
      </c>
      <c r="S5" s="86">
        <f t="shared" ca="1" si="0"/>
        <v>46156</v>
      </c>
      <c r="T5" s="86">
        <f t="shared" ca="1" si="0"/>
        <v>46157</v>
      </c>
      <c r="U5" s="86">
        <f t="shared" ca="1" si="0"/>
        <v>46158</v>
      </c>
      <c r="V5" s="87">
        <f t="shared" ca="1" si="0"/>
        <v>46159</v>
      </c>
      <c r="W5" s="85">
        <f ca="1">V5+1</f>
        <v>46160</v>
      </c>
      <c r="X5" s="86">
        <f ca="1">W5+1</f>
        <v>46161</v>
      </c>
      <c r="Y5" s="86">
        <f t="shared" ca="1" si="0"/>
        <v>46162</v>
      </c>
      <c r="Z5" s="86">
        <f t="shared" ca="1" si="0"/>
        <v>46163</v>
      </c>
      <c r="AA5" s="86">
        <f t="shared" ca="1" si="0"/>
        <v>46164</v>
      </c>
      <c r="AB5" s="86">
        <f t="shared" ca="1" si="0"/>
        <v>46165</v>
      </c>
      <c r="AC5" s="87">
        <f t="shared" ca="1" si="0"/>
        <v>46166</v>
      </c>
      <c r="AD5" s="85">
        <f ca="1">AC5+1</f>
        <v>46167</v>
      </c>
      <c r="AE5" s="86">
        <f ca="1">AD5+1</f>
        <v>46168</v>
      </c>
      <c r="AF5" s="86">
        <f t="shared" ca="1" si="0"/>
        <v>46169</v>
      </c>
      <c r="AG5" s="86">
        <f t="shared" ca="1" si="0"/>
        <v>46170</v>
      </c>
      <c r="AH5" s="86">
        <f t="shared" ca="1" si="0"/>
        <v>46171</v>
      </c>
      <c r="AI5" s="86">
        <f t="shared" ca="1" si="0"/>
        <v>46172</v>
      </c>
      <c r="AJ5" s="87">
        <f t="shared" ca="1" si="0"/>
        <v>46173</v>
      </c>
      <c r="AK5" s="85">
        <f ca="1">AJ5+1</f>
        <v>46174</v>
      </c>
      <c r="AL5" s="86">
        <f ca="1">AK5+1</f>
        <v>46175</v>
      </c>
      <c r="AM5" s="86">
        <f t="shared" ca="1" si="0"/>
        <v>46176</v>
      </c>
      <c r="AN5" s="86">
        <f t="shared" ca="1" si="0"/>
        <v>46177</v>
      </c>
      <c r="AO5" s="86">
        <f t="shared" ca="1" si="0"/>
        <v>46178</v>
      </c>
      <c r="AP5" s="86">
        <f t="shared" ca="1" si="0"/>
        <v>46179</v>
      </c>
      <c r="AQ5" s="87">
        <f t="shared" ca="1" si="0"/>
        <v>46180</v>
      </c>
      <c r="AR5" s="85">
        <f ca="1">AQ5+1</f>
        <v>46181</v>
      </c>
      <c r="AS5" s="86">
        <f ca="1">AR5+1</f>
        <v>46182</v>
      </c>
      <c r="AT5" s="86">
        <f t="shared" ca="1" si="0"/>
        <v>46183</v>
      </c>
      <c r="AU5" s="86">
        <f t="shared" ca="1" si="0"/>
        <v>46184</v>
      </c>
      <c r="AV5" s="86">
        <f t="shared" ca="1" si="0"/>
        <v>46185</v>
      </c>
      <c r="AW5" s="86">
        <f t="shared" ca="1" si="0"/>
        <v>46186</v>
      </c>
      <c r="AX5" s="87">
        <f t="shared" ca="1" si="0"/>
        <v>46187</v>
      </c>
      <c r="AY5" s="85">
        <f ca="1">AX5+1</f>
        <v>46188</v>
      </c>
      <c r="AZ5" s="86">
        <f ca="1">AY5+1</f>
        <v>46189</v>
      </c>
      <c r="BA5" s="86">
        <f t="shared" ref="BA5:BE5" ca="1" si="1">AZ5+1</f>
        <v>46190</v>
      </c>
      <c r="BB5" s="86">
        <f t="shared" ca="1" si="1"/>
        <v>46191</v>
      </c>
      <c r="BC5" s="86">
        <f t="shared" ca="1" si="1"/>
        <v>46192</v>
      </c>
      <c r="BD5" s="86">
        <f t="shared" ca="1" si="1"/>
        <v>46193</v>
      </c>
      <c r="BE5" s="87">
        <f t="shared" ca="1" si="1"/>
        <v>46194</v>
      </c>
      <c r="BF5" s="85">
        <f ca="1">BE5+1</f>
        <v>46195</v>
      </c>
      <c r="BG5" s="86">
        <f ca="1">BF5+1</f>
        <v>46196</v>
      </c>
      <c r="BH5" s="86">
        <f t="shared" ref="BH5:BL5" ca="1" si="2">BG5+1</f>
        <v>46197</v>
      </c>
      <c r="BI5" s="86">
        <f t="shared" ca="1" si="2"/>
        <v>46198</v>
      </c>
      <c r="BJ5" s="86">
        <f t="shared" ca="1" si="2"/>
        <v>46199</v>
      </c>
      <c r="BK5" s="86">
        <f t="shared" ca="1" si="2"/>
        <v>46200</v>
      </c>
      <c r="BL5" s="87">
        <f t="shared" ca="1" si="2"/>
        <v>46201</v>
      </c>
    </row>
    <row r="6" spans="1:64" ht="30" customHeight="1" thickBot="1">
      <c r="A6" s="46" t="s">
        <v>160</v>
      </c>
      <c r="B6" s="8" t="s">
        <v>173</v>
      </c>
      <c r="C6" s="9" t="s">
        <v>13</v>
      </c>
      <c r="D6" s="9" t="s">
        <v>161</v>
      </c>
      <c r="E6" s="9" t="s">
        <v>162</v>
      </c>
      <c r="F6" s="9" t="s">
        <v>163</v>
      </c>
      <c r="G6" s="9"/>
      <c r="H6" s="9" t="s">
        <v>164</v>
      </c>
      <c r="I6" s="10" t="str">
        <f t="shared" ref="I6" ca="1" si="3">LEFT(TEXT(I5,"ddd"),1)</f>
        <v>s</v>
      </c>
      <c r="J6" s="10" t="str">
        <f t="shared" ref="J6:AR6" ca="1" si="4">LEFT(TEXT(J5,"ddd"),1)</f>
        <v>t</v>
      </c>
      <c r="K6" s="10" t="str">
        <f t="shared" ca="1" si="4"/>
        <v>q</v>
      </c>
      <c r="L6" s="10" t="str">
        <f t="shared" ca="1" si="4"/>
        <v>q</v>
      </c>
      <c r="M6" s="10" t="str">
        <f t="shared" ca="1" si="4"/>
        <v>s</v>
      </c>
      <c r="N6" s="10" t="str">
        <f t="shared" ca="1" si="4"/>
        <v>s</v>
      </c>
      <c r="O6" s="10" t="str">
        <f t="shared" ca="1" si="4"/>
        <v>d</v>
      </c>
      <c r="P6" s="10" t="str">
        <f t="shared" ca="1" si="4"/>
        <v>s</v>
      </c>
      <c r="Q6" s="10" t="str">
        <f t="shared" ca="1" si="4"/>
        <v>t</v>
      </c>
      <c r="R6" s="10" t="str">
        <f t="shared" ca="1" si="4"/>
        <v>q</v>
      </c>
      <c r="S6" s="10" t="str">
        <f t="shared" ca="1" si="4"/>
        <v>q</v>
      </c>
      <c r="T6" s="10" t="str">
        <f t="shared" ca="1" si="4"/>
        <v>s</v>
      </c>
      <c r="U6" s="10" t="str">
        <f t="shared" ca="1" si="4"/>
        <v>s</v>
      </c>
      <c r="V6" s="10" t="str">
        <f t="shared" ca="1" si="4"/>
        <v>d</v>
      </c>
      <c r="W6" s="10" t="str">
        <f t="shared" ca="1" si="4"/>
        <v>s</v>
      </c>
      <c r="X6" s="10" t="str">
        <f t="shared" ca="1" si="4"/>
        <v>t</v>
      </c>
      <c r="Y6" s="10" t="str">
        <f t="shared" ca="1" si="4"/>
        <v>q</v>
      </c>
      <c r="Z6" s="10" t="str">
        <f t="shared" ca="1" si="4"/>
        <v>q</v>
      </c>
      <c r="AA6" s="10" t="str">
        <f t="shared" ca="1" si="4"/>
        <v>s</v>
      </c>
      <c r="AB6" s="10" t="str">
        <f t="shared" ca="1" si="4"/>
        <v>s</v>
      </c>
      <c r="AC6" s="10" t="str">
        <f t="shared" ca="1" si="4"/>
        <v>d</v>
      </c>
      <c r="AD6" s="10" t="str">
        <f t="shared" ca="1" si="4"/>
        <v>s</v>
      </c>
      <c r="AE6" s="10" t="str">
        <f t="shared" ca="1" si="4"/>
        <v>t</v>
      </c>
      <c r="AF6" s="10" t="str">
        <f t="shared" ca="1" si="4"/>
        <v>q</v>
      </c>
      <c r="AG6" s="10" t="str">
        <f t="shared" ca="1" si="4"/>
        <v>q</v>
      </c>
      <c r="AH6" s="10" t="str">
        <f t="shared" ca="1" si="4"/>
        <v>s</v>
      </c>
      <c r="AI6" s="10" t="str">
        <f t="shared" ca="1" si="4"/>
        <v>s</v>
      </c>
      <c r="AJ6" s="10" t="str">
        <f t="shared" ca="1" si="4"/>
        <v>d</v>
      </c>
      <c r="AK6" s="10" t="str">
        <f t="shared" ca="1" si="4"/>
        <v>s</v>
      </c>
      <c r="AL6" s="10" t="str">
        <f t="shared" ca="1" si="4"/>
        <v>t</v>
      </c>
      <c r="AM6" s="10" t="str">
        <f t="shared" ca="1" si="4"/>
        <v>q</v>
      </c>
      <c r="AN6" s="10" t="str">
        <f t="shared" ca="1" si="4"/>
        <v>q</v>
      </c>
      <c r="AO6" s="10" t="str">
        <f t="shared" ca="1" si="4"/>
        <v>s</v>
      </c>
      <c r="AP6" s="10" t="str">
        <f t="shared" ca="1" si="4"/>
        <v>s</v>
      </c>
      <c r="AQ6" s="10" t="str">
        <f t="shared" ca="1" si="4"/>
        <v>d</v>
      </c>
      <c r="AR6" s="10" t="str">
        <f t="shared" ca="1" si="4"/>
        <v>s</v>
      </c>
      <c r="AS6" s="10" t="str">
        <f t="shared" ref="AS6:BL6" ca="1" si="5">LEFT(TEXT(AS5,"ddd"),1)</f>
        <v>t</v>
      </c>
      <c r="AT6" s="10" t="str">
        <f t="shared" ca="1" si="5"/>
        <v>q</v>
      </c>
      <c r="AU6" s="10" t="str">
        <f t="shared" ca="1" si="5"/>
        <v>q</v>
      </c>
      <c r="AV6" s="10" t="str">
        <f t="shared" ca="1" si="5"/>
        <v>s</v>
      </c>
      <c r="AW6" s="10" t="str">
        <f t="shared" ca="1" si="5"/>
        <v>s</v>
      </c>
      <c r="AX6" s="10" t="str">
        <f t="shared" ca="1" si="5"/>
        <v>d</v>
      </c>
      <c r="AY6" s="10" t="str">
        <f t="shared" ca="1" si="5"/>
        <v>s</v>
      </c>
      <c r="AZ6" s="10" t="str">
        <f t="shared" ca="1" si="5"/>
        <v>t</v>
      </c>
      <c r="BA6" s="10" t="str">
        <f t="shared" ca="1" si="5"/>
        <v>q</v>
      </c>
      <c r="BB6" s="10" t="str">
        <f t="shared" ca="1" si="5"/>
        <v>q</v>
      </c>
      <c r="BC6" s="10" t="str">
        <f t="shared" ca="1" si="5"/>
        <v>s</v>
      </c>
      <c r="BD6" s="10" t="str">
        <f t="shared" ca="1" si="5"/>
        <v>s</v>
      </c>
      <c r="BE6" s="10" t="str">
        <f t="shared" ca="1" si="5"/>
        <v>d</v>
      </c>
      <c r="BF6" s="10" t="str">
        <f t="shared" ca="1" si="5"/>
        <v>s</v>
      </c>
      <c r="BG6" s="10" t="str">
        <f t="shared" ca="1" si="5"/>
        <v>t</v>
      </c>
      <c r="BH6" s="10" t="str">
        <f t="shared" ca="1" si="5"/>
        <v>q</v>
      </c>
      <c r="BI6" s="10" t="str">
        <f t="shared" ca="1" si="5"/>
        <v>q</v>
      </c>
      <c r="BJ6" s="10" t="str">
        <f t="shared" ca="1" si="5"/>
        <v>s</v>
      </c>
      <c r="BK6" s="10" t="str">
        <f t="shared" ca="1" si="5"/>
        <v>s</v>
      </c>
      <c r="BL6" s="10" t="str">
        <f t="shared" ca="1" si="5"/>
        <v>d</v>
      </c>
    </row>
    <row r="7" spans="1:64" ht="30" hidden="1" customHeight="1" thickBot="1">
      <c r="A7" s="45" t="s">
        <v>165</v>
      </c>
      <c r="C7" s="48"/>
      <c r="E7"/>
      <c r="H7" t="str">
        <f ca="1">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c r="A8" s="46" t="s">
        <v>166</v>
      </c>
      <c r="B8" s="15" t="s">
        <v>191</v>
      </c>
      <c r="C8" s="52"/>
      <c r="D8" s="16"/>
      <c r="E8" s="70"/>
      <c r="F8" s="71"/>
      <c r="G8" s="14"/>
      <c r="H8" s="14" t="str">
        <f t="shared" ref="H8:H33" ca="1" si="6">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c r="A9" s="46" t="s">
        <v>167</v>
      </c>
      <c r="B9" s="61" t="s">
        <v>137</v>
      </c>
      <c r="C9" s="53" t="s">
        <v>175</v>
      </c>
      <c r="D9" s="17">
        <v>0.5</v>
      </c>
      <c r="E9" s="72">
        <f ca="1">Início_do_projeto</f>
        <v>46148</v>
      </c>
      <c r="F9" s="72">
        <f ca="1">E9+3</f>
        <v>46151</v>
      </c>
      <c r="G9" s="14"/>
      <c r="H9" s="14">
        <f t="shared" ca="1" si="6"/>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c r="A10" s="46" t="s">
        <v>168</v>
      </c>
      <c r="B10" s="61" t="s">
        <v>137</v>
      </c>
      <c r="C10" s="53"/>
      <c r="D10" s="17">
        <v>0.6</v>
      </c>
      <c r="E10" s="72">
        <f ca="1">F9</f>
        <v>46151</v>
      </c>
      <c r="F10" s="72">
        <f ca="1">E10+2</f>
        <v>46153</v>
      </c>
      <c r="G10" s="14"/>
      <c r="H10" s="14">
        <f t="shared" ca="1"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c r="A11" s="45"/>
      <c r="B11" s="61" t="s">
        <v>137</v>
      </c>
      <c r="C11" s="53"/>
      <c r="D11" s="17">
        <v>0.5</v>
      </c>
      <c r="E11" s="72">
        <f ca="1">F10</f>
        <v>46153</v>
      </c>
      <c r="F11" s="72">
        <f ca="1">E11+4</f>
        <v>46157</v>
      </c>
      <c r="G11" s="14"/>
      <c r="H11" s="14">
        <f t="shared" ca="1"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c r="A12" s="45"/>
      <c r="B12" s="61" t="s">
        <v>137</v>
      </c>
      <c r="C12" s="53"/>
      <c r="D12" s="17">
        <v>0.25</v>
      </c>
      <c r="E12" s="72">
        <f ca="1">F11</f>
        <v>46157</v>
      </c>
      <c r="F12" s="72">
        <f ca="1">E12+5</f>
        <v>46162</v>
      </c>
      <c r="G12" s="14"/>
      <c r="H12" s="14">
        <f t="shared" ca="1" si="6"/>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c r="A13" s="45"/>
      <c r="B13" s="61" t="s">
        <v>137</v>
      </c>
      <c r="C13" s="53"/>
      <c r="D13" s="17"/>
      <c r="E13" s="72">
        <f ca="1">E10+1</f>
        <v>46152</v>
      </c>
      <c r="F13" s="72">
        <f ca="1">E13+2</f>
        <v>46154</v>
      </c>
      <c r="G13" s="14"/>
      <c r="H13" s="14">
        <f t="shared" ca="1" si="6"/>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c r="A14" s="46" t="s">
        <v>169</v>
      </c>
      <c r="B14" s="18" t="s">
        <v>176</v>
      </c>
      <c r="C14" s="54"/>
      <c r="D14" s="19"/>
      <c r="E14" s="73"/>
      <c r="F14" s="74"/>
      <c r="G14" s="14"/>
      <c r="H14" s="14" t="str">
        <f t="shared" ca="1"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c r="A15" s="46"/>
      <c r="B15" s="62" t="s">
        <v>177</v>
      </c>
      <c r="C15" s="55"/>
      <c r="D15" s="20">
        <v>0.5</v>
      </c>
      <c r="E15" s="75">
        <f ca="1">E13+1</f>
        <v>46153</v>
      </c>
      <c r="F15" s="75">
        <f ca="1">E15+4</f>
        <v>46157</v>
      </c>
      <c r="G15" s="14"/>
      <c r="H15" s="14">
        <f t="shared" ca="1" si="6"/>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c r="A16" s="45"/>
      <c r="B16" s="62" t="s">
        <v>178</v>
      </c>
      <c r="C16" s="55"/>
      <c r="D16" s="20">
        <v>0.5</v>
      </c>
      <c r="E16" s="75">
        <f ca="1">E15+2</f>
        <v>46155</v>
      </c>
      <c r="F16" s="75">
        <f ca="1">E16+5</f>
        <v>46160</v>
      </c>
      <c r="G16" s="14"/>
      <c r="H16" s="14">
        <f t="shared" ca="1" si="6"/>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c r="A17" s="45"/>
      <c r="B17" s="62" t="s">
        <v>179</v>
      </c>
      <c r="C17" s="55"/>
      <c r="D17" s="20"/>
      <c r="E17" s="75">
        <f ca="1">F16</f>
        <v>46160</v>
      </c>
      <c r="F17" s="75">
        <f ca="1">E17+3</f>
        <v>46163</v>
      </c>
      <c r="G17" s="14"/>
      <c r="H17" s="14">
        <f t="shared" ca="1" si="6"/>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c r="A18" s="45"/>
      <c r="B18" s="62" t="s">
        <v>180</v>
      </c>
      <c r="C18" s="55"/>
      <c r="D18" s="20"/>
      <c r="E18" s="75">
        <f ca="1">E17</f>
        <v>46160</v>
      </c>
      <c r="F18" s="75">
        <f ca="1">E18+2</f>
        <v>46162</v>
      </c>
      <c r="G18" s="14"/>
      <c r="H18" s="14">
        <f t="shared" ca="1" si="6"/>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c r="A19" s="45"/>
      <c r="B19" s="62" t="s">
        <v>181</v>
      </c>
      <c r="C19" s="55"/>
      <c r="D19" s="20"/>
      <c r="E19" s="75">
        <f ca="1">E18</f>
        <v>46160</v>
      </c>
      <c r="F19" s="75">
        <f ca="1">E19+3</f>
        <v>46163</v>
      </c>
      <c r="G19" s="14"/>
      <c r="H19" s="14">
        <f t="shared" ca="1" si="6"/>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c r="A20" s="45" t="s">
        <v>170</v>
      </c>
      <c r="B20" s="21" t="s">
        <v>182</v>
      </c>
      <c r="C20" s="56"/>
      <c r="D20" s="22"/>
      <c r="E20" s="76"/>
      <c r="F20" s="77"/>
      <c r="G20" s="14"/>
      <c r="H20" s="14" t="str">
        <f t="shared" ca="1"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c r="A21" s="45"/>
      <c r="B21" s="63" t="s">
        <v>177</v>
      </c>
      <c r="C21" s="57"/>
      <c r="D21" s="23"/>
      <c r="E21" s="78">
        <f ca="1">E9+15</f>
        <v>46163</v>
      </c>
      <c r="F21" s="78">
        <f ca="1">E21+5</f>
        <v>46168</v>
      </c>
      <c r="G21" s="14"/>
      <c r="H21" s="14">
        <f t="shared" ca="1" si="6"/>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c r="A22" s="45"/>
      <c r="B22" s="63" t="s">
        <v>178</v>
      </c>
      <c r="C22" s="57"/>
      <c r="D22" s="23"/>
      <c r="E22" s="78">
        <f ca="1">F21+1</f>
        <v>46169</v>
      </c>
      <c r="F22" s="78">
        <f ca="1">E22+4</f>
        <v>46173</v>
      </c>
      <c r="G22" s="14"/>
      <c r="H22" s="14">
        <f t="shared" ca="1" si="6"/>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c r="A23" s="45"/>
      <c r="B23" s="63" t="s">
        <v>179</v>
      </c>
      <c r="C23" s="57"/>
      <c r="D23" s="23"/>
      <c r="E23" s="78">
        <f ca="1">E22+5</f>
        <v>46174</v>
      </c>
      <c r="F23" s="78">
        <f ca="1">E23+5</f>
        <v>46179</v>
      </c>
      <c r="G23" s="14"/>
      <c r="H23" s="14">
        <f t="shared" ca="1" si="6"/>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c r="A24" s="45"/>
      <c r="B24" s="63" t="s">
        <v>180</v>
      </c>
      <c r="C24" s="57"/>
      <c r="D24" s="23"/>
      <c r="E24" s="78">
        <f ca="1">F23+1</f>
        <v>46180</v>
      </c>
      <c r="F24" s="78">
        <f ca="1">E24+4</f>
        <v>46184</v>
      </c>
      <c r="G24" s="14"/>
      <c r="H24" s="14">
        <f t="shared" ca="1"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c r="A25" s="45"/>
      <c r="B25" s="63" t="s">
        <v>181</v>
      </c>
      <c r="C25" s="57"/>
      <c r="D25" s="23"/>
      <c r="E25" s="78">
        <f ca="1">E23</f>
        <v>46174</v>
      </c>
      <c r="F25" s="78">
        <f ca="1">E25+4</f>
        <v>46178</v>
      </c>
      <c r="G25" s="14"/>
      <c r="H25" s="14">
        <f t="shared" ca="1" si="6"/>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c r="A26" s="45" t="s">
        <v>170</v>
      </c>
      <c r="B26" s="24" t="s">
        <v>183</v>
      </c>
      <c r="C26" s="58"/>
      <c r="D26" s="25"/>
      <c r="E26" s="79"/>
      <c r="F26" s="80"/>
      <c r="G26" s="14"/>
      <c r="H26" s="14" t="str">
        <f t="shared" ca="1"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c r="A27" s="45"/>
      <c r="B27" s="64" t="s">
        <v>177</v>
      </c>
      <c r="C27" s="59"/>
      <c r="D27" s="26"/>
      <c r="E27" s="81" t="s">
        <v>184</v>
      </c>
      <c r="F27" s="81" t="s">
        <v>184</v>
      </c>
      <c r="G27" s="14"/>
      <c r="H27" s="14" t="e">
        <f t="shared" ca="1" si="6"/>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c r="A28" s="45"/>
      <c r="B28" s="64" t="s">
        <v>178</v>
      </c>
      <c r="C28" s="59"/>
      <c r="D28" s="26"/>
      <c r="E28" s="81" t="s">
        <v>184</v>
      </c>
      <c r="F28" s="81" t="s">
        <v>184</v>
      </c>
      <c r="G28" s="14"/>
      <c r="H28" s="14" t="e">
        <f t="shared" ca="1" si="6"/>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c r="A29" s="45"/>
      <c r="B29" s="64" t="s">
        <v>179</v>
      </c>
      <c r="C29" s="59"/>
      <c r="D29" s="26"/>
      <c r="E29" s="81" t="s">
        <v>184</v>
      </c>
      <c r="F29" s="81" t="s">
        <v>184</v>
      </c>
      <c r="G29" s="14"/>
      <c r="H29" s="14" t="e">
        <f t="shared" ca="1" si="6"/>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c r="A30" s="45"/>
      <c r="B30" s="64" t="s">
        <v>180</v>
      </c>
      <c r="C30" s="59"/>
      <c r="D30" s="26"/>
      <c r="E30" s="81" t="s">
        <v>184</v>
      </c>
      <c r="F30" s="81" t="s">
        <v>184</v>
      </c>
      <c r="G30" s="14"/>
      <c r="H30" s="14" t="e">
        <f t="shared" ca="1" si="6"/>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c r="A31" s="45"/>
      <c r="B31" s="64" t="s">
        <v>181</v>
      </c>
      <c r="C31" s="59"/>
      <c r="D31" s="26"/>
      <c r="E31" s="81" t="s">
        <v>184</v>
      </c>
      <c r="F31" s="81" t="s">
        <v>184</v>
      </c>
      <c r="G31" s="14"/>
      <c r="H31" s="14" t="e">
        <f t="shared" ca="1" si="6"/>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c r="A32" s="45" t="s">
        <v>185</v>
      </c>
      <c r="B32" s="65"/>
      <c r="C32" s="60"/>
      <c r="D32" s="13"/>
      <c r="E32" s="82"/>
      <c r="F32" s="82"/>
      <c r="G32" s="14"/>
      <c r="H32" s="14" t="str">
        <f t="shared" ca="1"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c r="A33" s="46" t="s">
        <v>186</v>
      </c>
      <c r="B33" s="27" t="s">
        <v>187</v>
      </c>
      <c r="C33" s="28"/>
      <c r="D33" s="29"/>
      <c r="E33" s="83"/>
      <c r="F33" s="84"/>
      <c r="G33" s="30"/>
      <c r="H33" s="30" t="str">
        <f t="shared" ca="1"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c r="G34" s="6"/>
    </row>
    <row r="35" spans="1:64" ht="30" customHeight="1">
      <c r="C35" s="11"/>
      <c r="F35" s="47"/>
    </row>
    <row r="36" spans="1:64" ht="30" customHeight="1">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9" fitToHeight="0" orientation="landscape" r:id="rId3"/>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5" zoomScaleNormal="100" workbookViewId="0">
      <selection activeCell="A5" sqref="A5"/>
    </sheetView>
  </sheetViews>
  <sheetFormatPr defaultColWidth="9.140625" defaultRowHeight="12.95"/>
  <cols>
    <col min="1" max="1" width="93.140625" style="35" customWidth="1"/>
    <col min="2" max="16384" width="9.140625" style="2"/>
  </cols>
  <sheetData>
    <row r="1" spans="1:2" ht="46.5" customHeight="1"/>
    <row r="2" spans="1:2" s="37" customFormat="1" ht="15.6">
      <c r="A2" s="36" t="s">
        <v>152</v>
      </c>
      <c r="B2" s="36"/>
    </row>
    <row r="3" spans="1:2" s="41" customFormat="1" ht="27" customHeight="1">
      <c r="A3" s="69" t="s">
        <v>154</v>
      </c>
      <c r="B3" s="42"/>
    </row>
    <row r="4" spans="1:2" s="38" customFormat="1" ht="26.1">
      <c r="A4" s="39" t="s">
        <v>192</v>
      </c>
    </row>
    <row r="5" spans="1:2" ht="74.099999999999994" customHeight="1">
      <c r="A5" s="40" t="s">
        <v>193</v>
      </c>
    </row>
    <row r="6" spans="1:2" ht="26.25" customHeight="1">
      <c r="A6" s="39" t="s">
        <v>194</v>
      </c>
    </row>
    <row r="7" spans="1:2" s="35" customFormat="1" ht="204.95" customHeight="1">
      <c r="A7" s="44" t="s">
        <v>195</v>
      </c>
    </row>
    <row r="8" spans="1:2" s="38" customFormat="1" ht="26.1">
      <c r="A8" s="39" t="s">
        <v>196</v>
      </c>
    </row>
    <row r="9" spans="1:2" ht="57.95">
      <c r="A9" s="40" t="s">
        <v>197</v>
      </c>
    </row>
    <row r="10" spans="1:2" s="35" customFormat="1" ht="27.95" customHeight="1">
      <c r="A10" s="43" t="s">
        <v>198</v>
      </c>
    </row>
    <row r="11" spans="1:2" s="38" customFormat="1" ht="26.1">
      <c r="A11" s="39" t="s">
        <v>199</v>
      </c>
    </row>
    <row r="12" spans="1:2" ht="29.1">
      <c r="A12" s="40" t="s">
        <v>200</v>
      </c>
    </row>
    <row r="13" spans="1:2" s="35" customFormat="1" ht="27.95" customHeight="1">
      <c r="A13" s="43" t="s">
        <v>201</v>
      </c>
    </row>
    <row r="14" spans="1:2" s="38" customFormat="1" ht="26.1">
      <c r="A14" s="39" t="s">
        <v>202</v>
      </c>
    </row>
    <row r="15" spans="1:2" ht="75" customHeight="1">
      <c r="A15" s="40" t="s">
        <v>203</v>
      </c>
    </row>
    <row r="16" spans="1:2" ht="72.599999999999994">
      <c r="A16" s="40" t="s">
        <v>204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file>

<file path=customXml/itemProps2.xml><?xml version="1.0" encoding="utf-8"?>
<ds:datastoreItem xmlns:ds="http://schemas.openxmlformats.org/officeDocument/2006/customXml" ds:itemID="{8FE8ED85-58B3-4608-8E91-0433556D50CE}"/>
</file>

<file path=customXml/itemProps3.xml><?xml version="1.0" encoding="utf-8"?>
<ds:datastoreItem xmlns:ds="http://schemas.openxmlformats.org/officeDocument/2006/customXml" ds:itemID="{708DBB9E-6D89-4A94-9DC5-964B7833E11C}"/>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Clevio Clenio Ferreira da Silva</cp:lastModifiedBy>
  <cp:revision/>
  <dcterms:created xsi:type="dcterms:W3CDTF">2025-12-09T14:20:06Z</dcterms:created>
  <dcterms:modified xsi:type="dcterms:W3CDTF">2026-05-06T18:09:24Z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